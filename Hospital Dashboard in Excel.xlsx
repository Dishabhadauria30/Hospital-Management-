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Ex3.xml" ContentType="application/vnd.ms-office.chartex+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harts/chartEx5.xml" ContentType="application/vnd.ms-office.chartex+xml"/>
  <Override PartName="/xl/charts/style14.xml" ContentType="application/vnd.ms-office.chartstyle+xml"/>
  <Override PartName="/xl/charts/colors14.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fileSharing readOnlyRecommended="1"/>
  <workbookPr defaultThemeVersion="202300"/>
  <mc:AlternateContent xmlns:mc="http://schemas.openxmlformats.org/markup-compatibility/2006">
    <mc:Choice Requires="x15">
      <x15ac:absPath xmlns:x15ac="http://schemas.microsoft.com/office/spreadsheetml/2010/11/ac" url="C:\Users\msbha\Downloads\"/>
    </mc:Choice>
  </mc:AlternateContent>
  <xr:revisionPtr revIDLastSave="0" documentId="8_{3B745DA5-1035-4333-BA1A-3A7B9655BCAA}" xr6:coauthVersionLast="47" xr6:coauthVersionMax="47" xr10:uidLastSave="{00000000-0000-0000-0000-000000000000}"/>
  <bookViews>
    <workbookView xWindow="-108" yWindow="-108" windowWidth="23256" windowHeight="13176" activeTab="1" xr2:uid="{D5490AC3-1861-4C48-AA8E-DFFA62ADC765}"/>
  </bookViews>
  <sheets>
    <sheet name="pivot_table" sheetId="2" r:id="rId1"/>
    <sheet name="hospita" sheetId="3" r:id="rId2"/>
    <sheet name="Detail1" sheetId="5" r:id="rId3"/>
    <sheet name="Sheet3" sheetId="4" r:id="rId4"/>
    <sheet name="hospital_patient_treatment_data" sheetId="1" r:id="rId5"/>
  </sheets>
  <definedNames>
    <definedName name="_xlnm._FilterDatabase" localSheetId="4" hidden="1">hospital_patient_treatment_data!$A$1:$I$201</definedName>
    <definedName name="_xlchart.v1.2" hidden="1">Sheet3!$B$56:$B$63</definedName>
    <definedName name="_xlchart.v1.3" hidden="1">Sheet3!$C$56:$C$63</definedName>
    <definedName name="_xlchart.v1.6" hidden="1">Sheet3!$B$56:$B$63</definedName>
    <definedName name="_xlchart.v1.7" hidden="1">Sheet3!$C$56:$C$63</definedName>
    <definedName name="_xlchart.v2.0" hidden="1">Sheet3!$I$4:$I$7</definedName>
    <definedName name="_xlchart.v2.1" hidden="1">Sheet3!$J$4:$J$7</definedName>
    <definedName name="_xlchart.v2.4" hidden="1">Sheet3!$I$4:$I$7</definedName>
    <definedName name="_xlchart.v2.5" hidden="1">Sheet3!$J$4:$J$7</definedName>
    <definedName name="_xlchart.v2.8" hidden="1">Sheet3!$I$4:$I$7</definedName>
    <definedName name="_xlchart.v2.9" hidden="1">Sheet3!$J$4:$J$7</definedName>
    <definedName name="Slicer_Department">#N/A</definedName>
    <definedName name="Slicer_Doctor_Name">#N/A</definedName>
    <definedName name="Slicer_Gender2">#N/A</definedName>
    <definedName name="Slicer_Treatment_Type">#N/A</definedName>
  </definedNames>
  <calcPr calcId="191029"/>
  <pivotCaches>
    <pivotCache cacheId="6"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 l="1"/>
  <c r="K2"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J3" i="1"/>
  <c r="J2"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alcChain>
</file>

<file path=xl/sharedStrings.xml><?xml version="1.0" encoding="utf-8"?>
<sst xmlns="http://schemas.openxmlformats.org/spreadsheetml/2006/main" count="1299" uniqueCount="254">
  <si>
    <t>Patient ID</t>
  </si>
  <si>
    <t>Department</t>
  </si>
  <si>
    <t>Treatment Type</t>
  </si>
  <si>
    <t>Doctor Name</t>
  </si>
  <si>
    <t>Gender</t>
  </si>
  <si>
    <t>Age</t>
  </si>
  <si>
    <t>Treatment Cost</t>
  </si>
  <si>
    <t>Hospital Stay (Days)</t>
  </si>
  <si>
    <t>Recovery Score</t>
  </si>
  <si>
    <t>P1001</t>
  </si>
  <si>
    <t>Gastroenterology</t>
  </si>
  <si>
    <t>Therapy</t>
  </si>
  <si>
    <t>Dr. L. Khan</t>
  </si>
  <si>
    <t>Female</t>
  </si>
  <si>
    <t>P1002</t>
  </si>
  <si>
    <t>Pediatrics</t>
  </si>
  <si>
    <t>Medication</t>
  </si>
  <si>
    <t>Dr. M. Patel</t>
  </si>
  <si>
    <t>Male</t>
  </si>
  <si>
    <t>P1003</t>
  </si>
  <si>
    <t>P1004</t>
  </si>
  <si>
    <t>P1005</t>
  </si>
  <si>
    <t>Orthopedics</t>
  </si>
  <si>
    <t>Dr. T. Mehta</t>
  </si>
  <si>
    <t>P1006</t>
  </si>
  <si>
    <t>Cardiology</t>
  </si>
  <si>
    <t>Dr. A. Sharma</t>
  </si>
  <si>
    <t>P1007</t>
  </si>
  <si>
    <t>Observation</t>
  </si>
  <si>
    <t>Other</t>
  </si>
  <si>
    <t>P1008</t>
  </si>
  <si>
    <t>Neurology</t>
  </si>
  <si>
    <t>Dr. R. Singh</t>
  </si>
  <si>
    <t>P1009</t>
  </si>
  <si>
    <t>P1010</t>
  </si>
  <si>
    <t>P1011</t>
  </si>
  <si>
    <t>Oncology</t>
  </si>
  <si>
    <t>P1012</t>
  </si>
  <si>
    <t>P1013</t>
  </si>
  <si>
    <t>P1014</t>
  </si>
  <si>
    <t>P1015</t>
  </si>
  <si>
    <t>Surgery</t>
  </si>
  <si>
    <t>P1016</t>
  </si>
  <si>
    <t>P1017</t>
  </si>
  <si>
    <t>P1018</t>
  </si>
  <si>
    <t>P1019</t>
  </si>
  <si>
    <t>P1020</t>
  </si>
  <si>
    <t>P1021</t>
  </si>
  <si>
    <t>P1022</t>
  </si>
  <si>
    <t>P1023</t>
  </si>
  <si>
    <t>P1024</t>
  </si>
  <si>
    <t>P1025</t>
  </si>
  <si>
    <t>P1026</t>
  </si>
  <si>
    <t>P1027</t>
  </si>
  <si>
    <t>P1028</t>
  </si>
  <si>
    <t>P1029</t>
  </si>
  <si>
    <t>P1030</t>
  </si>
  <si>
    <t>P1031</t>
  </si>
  <si>
    <t>P1032</t>
  </si>
  <si>
    <t>P1033</t>
  </si>
  <si>
    <t>P1034</t>
  </si>
  <si>
    <t>P1035</t>
  </si>
  <si>
    <t>P1036</t>
  </si>
  <si>
    <t>P1037</t>
  </si>
  <si>
    <t>P1038</t>
  </si>
  <si>
    <t>P1039</t>
  </si>
  <si>
    <t>P1040</t>
  </si>
  <si>
    <t>P1041</t>
  </si>
  <si>
    <t>P1042</t>
  </si>
  <si>
    <t>P1043</t>
  </si>
  <si>
    <t>P1044</t>
  </si>
  <si>
    <t>P1045</t>
  </si>
  <si>
    <t>P1046</t>
  </si>
  <si>
    <t>P1047</t>
  </si>
  <si>
    <t>P1048</t>
  </si>
  <si>
    <t>P1049</t>
  </si>
  <si>
    <t>P1050</t>
  </si>
  <si>
    <t>P1051</t>
  </si>
  <si>
    <t>P1052</t>
  </si>
  <si>
    <t>P1053</t>
  </si>
  <si>
    <t>P1054</t>
  </si>
  <si>
    <t>P1055</t>
  </si>
  <si>
    <t>P1056</t>
  </si>
  <si>
    <t>P1057</t>
  </si>
  <si>
    <t>P1058</t>
  </si>
  <si>
    <t>P1059</t>
  </si>
  <si>
    <t>P1060</t>
  </si>
  <si>
    <t>P1061</t>
  </si>
  <si>
    <t>P1062</t>
  </si>
  <si>
    <t>P1063</t>
  </si>
  <si>
    <t>P1064</t>
  </si>
  <si>
    <t>P1065</t>
  </si>
  <si>
    <t>P1066</t>
  </si>
  <si>
    <t>P1067</t>
  </si>
  <si>
    <t>P1068</t>
  </si>
  <si>
    <t>P1069</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</si>
  <si>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</si>
  <si>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</si>
  <si>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</si>
  <si>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</si>
  <si>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</si>
  <si>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</si>
  <si>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</si>
  <si>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</si>
  <si>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</si>
  <si>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</si>
  <si>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</si>
  <si>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</si>
  <si>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</si>
  <si>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</si>
  <si>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</si>
  <si>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</si>
  <si>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</si>
  <si>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</si>
  <si>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</si>
  <si>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</si>
  <si>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</si>
  <si>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</si>
  <si>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</si>
  <si>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</si>
  <si>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</si>
  <si>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</si>
  <si>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</si>
  <si>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</si>
  <si>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</si>
  <si>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</si>
  <si>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</si>
  <si>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</si>
  <si>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</si>
  <si>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</si>
  <si>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</si>
  <si>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</si>
  <si>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</si>
  <si>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</si>
  <si>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</si>
  <si>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</si>
  <si>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</si>
  <si>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</si>
  <si>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</si>
  <si>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</si>
  <si>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</si>
  <si>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P1115</t>
  </si>
  <si>
    <t>P1116</t>
  </si>
  <si>
    <t>P1117</t>
  </si>
  <si>
    <t>P1118</t>
  </si>
  <si>
    <t>P1119</t>
  </si>
  <si>
    <t>P1120</t>
  </si>
  <si>
    <t>P1121</t>
  </si>
  <si>
    <t>P1122</t>
  </si>
  <si>
    <t>P1123</t>
  </si>
  <si>
    <t>P1124</t>
  </si>
  <si>
    <t>P1125</t>
  </si>
  <si>
    <t>P1126</t>
  </si>
  <si>
    <t>P1127</t>
  </si>
  <si>
    <t>P1128</t>
  </si>
  <si>
    <t>P1129</t>
  </si>
  <si>
    <t>P1130</t>
  </si>
  <si>
    <t>P1131</t>
  </si>
  <si>
    <t>P1132</t>
  </si>
  <si>
    <t>P1133</t>
  </si>
  <si>
    <t>P1134</t>
  </si>
  <si>
    <t>P1135</t>
  </si>
  <si>
    <t>P1136</t>
  </si>
  <si>
    <t>P1137</t>
  </si>
  <si>
    <t>P1138</t>
  </si>
  <si>
    <t>P1139</t>
  </si>
  <si>
    <t>P1140</t>
  </si>
  <si>
    <t>P1141</t>
  </si>
  <si>
    <t>P1142</t>
  </si>
  <si>
    <t>P1143</t>
  </si>
  <si>
    <t>P1144</t>
  </si>
  <si>
    <t>P1145</t>
  </si>
  <si>
    <t>P1146</t>
  </si>
  <si>
    <t>P1147</t>
  </si>
  <si>
    <t>P1148</t>
  </si>
  <si>
    <t>P1149</t>
  </si>
  <si>
    <t>P1150</t>
  </si>
  <si>
    <t>P1151</t>
  </si>
  <si>
    <t>P1152</t>
  </si>
  <si>
    <t>P1153</t>
  </si>
  <si>
    <t>P1154</t>
  </si>
  <si>
    <t>P1155</t>
  </si>
  <si>
    <t>P1156</t>
  </si>
  <si>
    <t>P1157</t>
  </si>
  <si>
    <t>P1158</t>
  </si>
  <si>
    <t>P1159</t>
  </si>
  <si>
    <t>P1160</t>
  </si>
  <si>
    <t>P1161</t>
  </si>
  <si>
    <t>P1162</t>
  </si>
  <si>
    <t>P1163</t>
  </si>
  <si>
    <t>P1164</t>
  </si>
  <si>
    <t>P1165</t>
  </si>
  <si>
    <t>P1166</t>
  </si>
  <si>
    <t>P1167</t>
  </si>
  <si>
    <t>P1168</t>
  </si>
  <si>
    <t>P1169</t>
  </si>
  <si>
    <t>P1170</t>
  </si>
  <si>
    <t>P1171</t>
  </si>
  <si>
    <t>P1172</t>
  </si>
  <si>
    <t>P1173</t>
  </si>
  <si>
    <t>P1174</t>
  </si>
  <si>
    <t>P1175</t>
  </si>
  <si>
    <t>P1176</t>
  </si>
  <si>
    <t>P1177</t>
  </si>
  <si>
    <t>P1178</t>
  </si>
  <si>
    <t>P1179</t>
  </si>
  <si>
    <t>P1180</t>
  </si>
  <si>
    <t>P1181</t>
  </si>
  <si>
    <t>P1182</t>
  </si>
  <si>
    <t>P1183</t>
  </si>
  <si>
    <t>P1184</t>
  </si>
  <si>
    <t>P1185</t>
  </si>
  <si>
    <t>P1186</t>
  </si>
  <si>
    <t>P1187</t>
  </si>
  <si>
    <t>P1188</t>
  </si>
  <si>
    <t>P1189</t>
  </si>
  <si>
    <t>P1190</t>
  </si>
  <si>
    <t>P1191</t>
  </si>
  <si>
    <t>P1192</t>
  </si>
  <si>
    <t>P1193</t>
  </si>
  <si>
    <t>P1194</t>
  </si>
  <si>
    <t>P1195</t>
  </si>
  <si>
    <t>P1196</t>
  </si>
  <si>
    <t>P1197</t>
  </si>
  <si>
    <t>P1198</t>
  </si>
  <si>
    <t>P1199</t>
  </si>
  <si>
    <t>P1200</t>
  </si>
  <si>
    <t>Row Labels</t>
  </si>
  <si>
    <t>Grand Total</t>
  </si>
  <si>
    <t>Count of Patient ID</t>
  </si>
  <si>
    <t>Average of Treatment Cost</t>
  </si>
  <si>
    <t>Average of Age</t>
  </si>
  <si>
    <t>Average of Hospital Stay (Days)</t>
  </si>
  <si>
    <t>Sum of Recovery Score</t>
  </si>
  <si>
    <t>Average of Recovery Score2</t>
  </si>
  <si>
    <t xml:space="preserve">What Drives Better Recovery? </t>
  </si>
  <si>
    <t>Average of Recovery Score</t>
  </si>
  <si>
    <t>Min of Recovery Score</t>
  </si>
  <si>
    <t>StdDev Recovery Score</t>
  </si>
  <si>
    <t>Details for Min of Recovery Score - Department: Pediatrics</t>
  </si>
  <si>
    <t>cardiology</t>
  </si>
  <si>
    <t>Cost Category</t>
  </si>
  <si>
    <t>High Cost</t>
  </si>
  <si>
    <t>Low  Cost</t>
  </si>
  <si>
    <t>Age Group</t>
  </si>
  <si>
    <t>Adult</t>
  </si>
  <si>
    <t>Child</t>
  </si>
  <si>
    <t>Elderly</t>
  </si>
  <si>
    <t>Infant/Toddler</t>
  </si>
  <si>
    <t>Middle-aged</t>
  </si>
  <si>
    <t>Senior</t>
  </si>
  <si>
    <t>Teenager</t>
  </si>
  <si>
    <t>Young Adult</t>
  </si>
  <si>
    <t xml:space="preserve">              Excel Dashboard - Patient Treatment Data - Recovery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</si>
</sst>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
      <b/>
      <sz val="20"/>
      <color theme="3" tint="9.9978637043366805E-2"/>
      <name val="Aptos Narrow"/>
      <family val="2"/>
      <scheme val="minor"/>
    </font>
    <font>
      <b/>
      <sz val="11"/>
      <color rgb="FFAE0E93"/>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0" fontId="16" fillId="33" borderId="10" xfId="0" applyFont="1" applyFill="1" applyBorder="1"/>
    <xf numFmtId="0" fontId="18" fillId="34" borderId="0" xfId="0" applyFont="1" applyFill="1" applyAlignment="1">
      <alignment wrapText="1"/>
    </xf>
    <xf numFmtId="0" fontId="19" fillId="0" borderId="0" xfId="0" applyFont="1"/>
    <xf numFmtId="0" fontId="18" fillId="34" borderId="0" xfId="0" applyFont="1" applyFill="1" applyAlignment="1">
      <alignment horizontal="center" wrapText="1"/>
    </xf>
    <xf numFmtId="0" fontId="20" fillId="0" borderId="0" xfId="0" applyFont="1" applyAlignment="1">
      <alignment horizontal="center"/>
    </xf>
    <xf numFmtId="0" fontId="16" fillId="0" borderId="0" xfId="0" applyFont="1"/>
    <xf numFmtId="2" fontId="0" fillId="0" borderId="0" xfId="0" applyNumberFormat="1"/>
    <xf numFmtId="164"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2" formatCode="0.00"/>
    </dxf>
    <dxf>
      <numFmt numFmtId="164" formatCode="0.0"/>
    </dxf>
    <dxf>
      <numFmt numFmtId="2" formatCode="0.00"/>
    </dxf>
    <dxf>
      <numFmt numFmtId="2" formatCode="0.00"/>
    </dxf>
    <dxf>
      <numFmt numFmtId="164" formatCode="0.0"/>
    </dxf>
    <dxf>
      <numFmt numFmtId="2" formatCode="0.00"/>
    </dxf>
    <dxf>
      <numFmt numFmtId="0" formatCode="General"/>
    </dxf>
    <dxf>
      <numFmt numFmtId="0" formatCode="General"/>
    </dxf>
    <dxf>
      <numFmt numFmtId="2" formatCode="0.00"/>
    </dxf>
    <dxf>
      <numFmt numFmtId="164" formatCode="0.0"/>
    </dxf>
    <dxf>
      <numFmt numFmtId="2" formatCode="0.00"/>
    </dxf>
  </dxfs>
  <tableStyles count="0" defaultTableStyle="TableStyleMedium2" defaultPivotStyle="PivotStyleLight16"/>
  <colors>
    <mruColors>
      <color rgb="FFAE0E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in Excel.xlsx]pivot_table!PivotTable25</c:name>
    <c:fmtId val="0"/>
  </c:pivotSource>
  <c:chart>
    <c:autoTitleDeleted val="0"/>
    <c:pivotFmts>
      <c:pivotFmt>
        <c:idx val="0"/>
        <c:spPr>
          <a:solidFill>
            <a:schemeClr val="accent3">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7510616051042388E-2"/>
          <c:y val="0.15638670166229221"/>
          <c:w val="0.88167637581887626"/>
          <c:h val="0.65890128317293672"/>
        </c:manualLayout>
      </c:layout>
      <c:bar3DChart>
        <c:barDir val="col"/>
        <c:grouping val="clustered"/>
        <c:varyColors val="0"/>
        <c:ser>
          <c:idx val="0"/>
          <c:order val="0"/>
          <c:tx>
            <c:strRef>
              <c:f>pivot_table!$C$17</c:f>
              <c:strCache>
                <c:ptCount val="1"/>
                <c:pt idx="0">
                  <c:v>Average of Recovery Score</c:v>
                </c:pt>
              </c:strCache>
            </c:strRef>
          </c:tx>
          <c:spPr>
            <a:solidFill>
              <a:schemeClr val="accent3">
                <a:lumMod val="50000"/>
              </a:schemeClr>
            </a:solidFill>
            <a:ln>
              <a:noFill/>
            </a:ln>
            <a:effectLst/>
            <a:sp3d/>
          </c:spPr>
          <c:invertIfNegative val="0"/>
          <c:cat>
            <c:strRef>
              <c:f>pivot_table!$B$18:$B$22</c:f>
              <c:strCache>
                <c:ptCount val="4"/>
                <c:pt idx="0">
                  <c:v>Medication</c:v>
                </c:pt>
                <c:pt idx="1">
                  <c:v>Observation</c:v>
                </c:pt>
                <c:pt idx="2">
                  <c:v>Surgery</c:v>
                </c:pt>
                <c:pt idx="3">
                  <c:v>Therapy</c:v>
                </c:pt>
              </c:strCache>
            </c:strRef>
          </c:cat>
          <c:val>
            <c:numRef>
              <c:f>pivot_table!$C$18:$C$22</c:f>
              <c:numCache>
                <c:formatCode>General</c:formatCode>
                <c:ptCount val="4"/>
                <c:pt idx="0">
                  <c:v>67.581818181818178</c:v>
                </c:pt>
                <c:pt idx="1">
                  <c:v>70.021276595744681</c:v>
                </c:pt>
                <c:pt idx="2">
                  <c:v>73.291666666666671</c:v>
                </c:pt>
                <c:pt idx="3">
                  <c:v>70.98</c:v>
                </c:pt>
              </c:numCache>
            </c:numRef>
          </c:val>
          <c:extLst>
            <c:ext xmlns:c16="http://schemas.microsoft.com/office/drawing/2014/chart" uri="{C3380CC4-5D6E-409C-BE32-E72D297353CC}">
              <c16:uniqueId val="{00000000-BC9D-4254-8CFE-47A689F69DD3}"/>
            </c:ext>
          </c:extLst>
        </c:ser>
        <c:ser>
          <c:idx val="1"/>
          <c:order val="1"/>
          <c:tx>
            <c:strRef>
              <c:f>pivot_table!$D$17</c:f>
              <c:strCache>
                <c:ptCount val="1"/>
                <c:pt idx="0">
                  <c:v>Min of Recovery Score</c:v>
                </c:pt>
              </c:strCache>
            </c:strRef>
          </c:tx>
          <c:spPr>
            <a:solidFill>
              <a:schemeClr val="tx2">
                <a:lumMod val="75000"/>
                <a:lumOff val="25000"/>
              </a:schemeClr>
            </a:solidFill>
            <a:ln>
              <a:noFill/>
            </a:ln>
            <a:effectLst/>
            <a:sp3d/>
          </c:spPr>
          <c:invertIfNegative val="0"/>
          <c:cat>
            <c:strRef>
              <c:f>pivot_table!$B$18:$B$22</c:f>
              <c:strCache>
                <c:ptCount val="4"/>
                <c:pt idx="0">
                  <c:v>Medication</c:v>
                </c:pt>
                <c:pt idx="1">
                  <c:v>Observation</c:v>
                </c:pt>
                <c:pt idx="2">
                  <c:v>Surgery</c:v>
                </c:pt>
                <c:pt idx="3">
                  <c:v>Therapy</c:v>
                </c:pt>
              </c:strCache>
            </c:strRef>
          </c:cat>
          <c:val>
            <c:numRef>
              <c:f>pivot_table!$D$18:$D$22</c:f>
              <c:numCache>
                <c:formatCode>General</c:formatCode>
                <c:ptCount val="4"/>
                <c:pt idx="0">
                  <c:v>40</c:v>
                </c:pt>
                <c:pt idx="1">
                  <c:v>40</c:v>
                </c:pt>
                <c:pt idx="2">
                  <c:v>41</c:v>
                </c:pt>
                <c:pt idx="3">
                  <c:v>40</c:v>
                </c:pt>
              </c:numCache>
            </c:numRef>
          </c:val>
          <c:extLst>
            <c:ext xmlns:c16="http://schemas.microsoft.com/office/drawing/2014/chart" uri="{C3380CC4-5D6E-409C-BE32-E72D297353CC}">
              <c16:uniqueId val="{00000001-BC9D-4254-8CFE-47A689F69DD3}"/>
            </c:ext>
          </c:extLst>
        </c:ser>
        <c:ser>
          <c:idx val="2"/>
          <c:order val="2"/>
          <c:tx>
            <c:strRef>
              <c:f>pivot_table!$E$17</c:f>
              <c:strCache>
                <c:ptCount val="1"/>
                <c:pt idx="0">
                  <c:v>StdDev Recovery Score</c:v>
                </c:pt>
              </c:strCache>
            </c:strRef>
          </c:tx>
          <c:spPr>
            <a:solidFill>
              <a:schemeClr val="bg1">
                <a:lumMod val="65000"/>
              </a:schemeClr>
            </a:solidFill>
            <a:ln>
              <a:noFill/>
            </a:ln>
            <a:effectLst/>
            <a:sp3d/>
          </c:spPr>
          <c:invertIfNegative val="0"/>
          <c:cat>
            <c:strRef>
              <c:f>pivot_table!$B$18:$B$22</c:f>
              <c:strCache>
                <c:ptCount val="4"/>
                <c:pt idx="0">
                  <c:v>Medication</c:v>
                </c:pt>
                <c:pt idx="1">
                  <c:v>Observation</c:v>
                </c:pt>
                <c:pt idx="2">
                  <c:v>Surgery</c:v>
                </c:pt>
                <c:pt idx="3">
                  <c:v>Therapy</c:v>
                </c:pt>
              </c:strCache>
            </c:strRef>
          </c:cat>
          <c:val>
            <c:numRef>
              <c:f>pivot_table!$E$18:$E$22</c:f>
              <c:numCache>
                <c:formatCode>General</c:formatCode>
                <c:ptCount val="4"/>
                <c:pt idx="0">
                  <c:v>17.727036172124521</c:v>
                </c:pt>
                <c:pt idx="1">
                  <c:v>18.283384428517664</c:v>
                </c:pt>
                <c:pt idx="2">
                  <c:v>17.577740194763653</c:v>
                </c:pt>
                <c:pt idx="3">
                  <c:v>17.379896902068516</c:v>
                </c:pt>
              </c:numCache>
            </c:numRef>
          </c:val>
          <c:extLst>
            <c:ext xmlns:c16="http://schemas.microsoft.com/office/drawing/2014/chart" uri="{C3380CC4-5D6E-409C-BE32-E72D297353CC}">
              <c16:uniqueId val="{00000002-BC9D-4254-8CFE-47A689F69DD3}"/>
            </c:ext>
          </c:extLst>
        </c:ser>
        <c:dLbls>
          <c:showLegendKey val="0"/>
          <c:showVal val="0"/>
          <c:showCatName val="0"/>
          <c:showSerName val="0"/>
          <c:showPercent val="0"/>
          <c:showBubbleSize val="0"/>
        </c:dLbls>
        <c:gapWidth val="150"/>
        <c:shape val="box"/>
        <c:axId val="627127343"/>
        <c:axId val="627125423"/>
        <c:axId val="0"/>
      </c:bar3DChart>
      <c:catAx>
        <c:axId val="6271273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125423"/>
        <c:crosses val="autoZero"/>
        <c:auto val="1"/>
        <c:lblAlgn val="ctr"/>
        <c:lblOffset val="100"/>
        <c:noMultiLvlLbl val="0"/>
      </c:catAx>
      <c:valAx>
        <c:axId val="627125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12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 Dashboard in Excel.xlsx]Sheet3!PivotTable18</c:name>
    <c:fmtId val="2"/>
  </c:pivotSource>
  <c:chart>
    <c:autoTitleDeleted val="0"/>
    <c:pivotFmts>
      <c:pivotFmt>
        <c:idx val="0"/>
        <c:spPr>
          <a:solidFill>
            <a:schemeClr val="accent3">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2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70C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2">
              <a:lumMod val="2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3884220189965044E-2"/>
          <c:y val="0.13710661569233107"/>
          <c:w val="0.86366458291074266"/>
          <c:h val="0.47386747581966621"/>
        </c:manualLayout>
      </c:layout>
      <c:bar3DChart>
        <c:barDir val="col"/>
        <c:grouping val="clustered"/>
        <c:varyColors val="0"/>
        <c:ser>
          <c:idx val="0"/>
          <c:order val="0"/>
          <c:tx>
            <c:strRef>
              <c:f>Sheet3!$B$3</c:f>
              <c:strCache>
                <c:ptCount val="1"/>
                <c:pt idx="0">
                  <c:v>Average of Recovery Score</c:v>
                </c:pt>
              </c:strCache>
            </c:strRef>
          </c:tx>
          <c:spPr>
            <a:solidFill>
              <a:schemeClr val="accent3">
                <a:lumMod val="50000"/>
              </a:schemeClr>
            </a:solidFill>
            <a:ln>
              <a:noFill/>
            </a:ln>
            <a:effectLst/>
            <a:sp3d/>
          </c:spPr>
          <c:invertIfNegative val="0"/>
          <c:cat>
            <c:strRef>
              <c:f>Sheet3!$A$4:$A$10</c:f>
              <c:strCache>
                <c:ptCount val="6"/>
                <c:pt idx="0">
                  <c:v>Cardiology</c:v>
                </c:pt>
                <c:pt idx="1">
                  <c:v>Gastroenterology</c:v>
                </c:pt>
                <c:pt idx="2">
                  <c:v>Neurology</c:v>
                </c:pt>
                <c:pt idx="3">
                  <c:v>Oncology</c:v>
                </c:pt>
                <c:pt idx="4">
                  <c:v>Orthopedics</c:v>
                </c:pt>
                <c:pt idx="5">
                  <c:v>Pediatrics</c:v>
                </c:pt>
              </c:strCache>
            </c:strRef>
          </c:cat>
          <c:val>
            <c:numRef>
              <c:f>Sheet3!$B$4:$B$10</c:f>
              <c:numCache>
                <c:formatCode>General</c:formatCode>
                <c:ptCount val="6"/>
                <c:pt idx="0">
                  <c:v>70.5</c:v>
                </c:pt>
                <c:pt idx="1">
                  <c:v>71.804878048780495</c:v>
                </c:pt>
                <c:pt idx="2">
                  <c:v>66.392857142857139</c:v>
                </c:pt>
                <c:pt idx="3">
                  <c:v>72.41935483870968</c:v>
                </c:pt>
                <c:pt idx="4">
                  <c:v>67.263157894736835</c:v>
                </c:pt>
                <c:pt idx="5">
                  <c:v>73.131578947368425</c:v>
                </c:pt>
              </c:numCache>
            </c:numRef>
          </c:val>
          <c:extLst>
            <c:ext xmlns:c16="http://schemas.microsoft.com/office/drawing/2014/chart" uri="{C3380CC4-5D6E-409C-BE32-E72D297353CC}">
              <c16:uniqueId val="{00000000-31B0-4CCD-A700-74560CAC0298}"/>
            </c:ext>
          </c:extLst>
        </c:ser>
        <c:ser>
          <c:idx val="1"/>
          <c:order val="1"/>
          <c:tx>
            <c:strRef>
              <c:f>Sheet3!$C$3</c:f>
              <c:strCache>
                <c:ptCount val="1"/>
                <c:pt idx="0">
                  <c:v>Min of Recovery Score</c:v>
                </c:pt>
              </c:strCache>
            </c:strRef>
          </c:tx>
          <c:spPr>
            <a:solidFill>
              <a:srgbClr val="0070C0"/>
            </a:solidFill>
            <a:ln>
              <a:noFill/>
            </a:ln>
            <a:effectLst/>
            <a:sp3d/>
          </c:spPr>
          <c:invertIfNegative val="0"/>
          <c:cat>
            <c:strRef>
              <c:f>Sheet3!$A$4:$A$10</c:f>
              <c:strCache>
                <c:ptCount val="6"/>
                <c:pt idx="0">
                  <c:v>Cardiology</c:v>
                </c:pt>
                <c:pt idx="1">
                  <c:v>Gastroenterology</c:v>
                </c:pt>
                <c:pt idx="2">
                  <c:v>Neurology</c:v>
                </c:pt>
                <c:pt idx="3">
                  <c:v>Oncology</c:v>
                </c:pt>
                <c:pt idx="4">
                  <c:v>Orthopedics</c:v>
                </c:pt>
                <c:pt idx="5">
                  <c:v>Pediatrics</c:v>
                </c:pt>
              </c:strCache>
            </c:strRef>
          </c:cat>
          <c:val>
            <c:numRef>
              <c:f>Sheet3!$C$4:$C$10</c:f>
              <c:numCache>
                <c:formatCode>General</c:formatCode>
                <c:ptCount val="6"/>
                <c:pt idx="0">
                  <c:v>41</c:v>
                </c:pt>
                <c:pt idx="1">
                  <c:v>40</c:v>
                </c:pt>
                <c:pt idx="2">
                  <c:v>40</c:v>
                </c:pt>
                <c:pt idx="3">
                  <c:v>41</c:v>
                </c:pt>
                <c:pt idx="4">
                  <c:v>40</c:v>
                </c:pt>
                <c:pt idx="5">
                  <c:v>42</c:v>
                </c:pt>
              </c:numCache>
            </c:numRef>
          </c:val>
          <c:extLst>
            <c:ext xmlns:c16="http://schemas.microsoft.com/office/drawing/2014/chart" uri="{C3380CC4-5D6E-409C-BE32-E72D297353CC}">
              <c16:uniqueId val="{00000001-31B0-4CCD-A700-74560CAC0298}"/>
            </c:ext>
          </c:extLst>
        </c:ser>
        <c:ser>
          <c:idx val="2"/>
          <c:order val="2"/>
          <c:tx>
            <c:strRef>
              <c:f>Sheet3!$D$3</c:f>
              <c:strCache>
                <c:ptCount val="1"/>
                <c:pt idx="0">
                  <c:v>StdDev Recovery Score</c:v>
                </c:pt>
              </c:strCache>
            </c:strRef>
          </c:tx>
          <c:spPr>
            <a:solidFill>
              <a:schemeClr val="bg2">
                <a:lumMod val="25000"/>
              </a:schemeClr>
            </a:solidFill>
            <a:ln>
              <a:noFill/>
            </a:ln>
            <a:effectLst/>
            <a:sp3d/>
          </c:spPr>
          <c:invertIfNegative val="0"/>
          <c:cat>
            <c:strRef>
              <c:f>Sheet3!$A$4:$A$10</c:f>
              <c:strCache>
                <c:ptCount val="6"/>
                <c:pt idx="0">
                  <c:v>Cardiology</c:v>
                </c:pt>
                <c:pt idx="1">
                  <c:v>Gastroenterology</c:v>
                </c:pt>
                <c:pt idx="2">
                  <c:v>Neurology</c:v>
                </c:pt>
                <c:pt idx="3">
                  <c:v>Oncology</c:v>
                </c:pt>
                <c:pt idx="4">
                  <c:v>Orthopedics</c:v>
                </c:pt>
                <c:pt idx="5">
                  <c:v>Pediatrics</c:v>
                </c:pt>
              </c:strCache>
            </c:strRef>
          </c:cat>
          <c:val>
            <c:numRef>
              <c:f>Sheet3!$D$4:$D$10</c:f>
              <c:numCache>
                <c:formatCode>General</c:formatCode>
                <c:ptCount val="6"/>
                <c:pt idx="0">
                  <c:v>19.571496576932219</c:v>
                </c:pt>
                <c:pt idx="1">
                  <c:v>16.895590419093264</c:v>
                </c:pt>
                <c:pt idx="2">
                  <c:v>19.085265376655212</c:v>
                </c:pt>
                <c:pt idx="3">
                  <c:v>17.819042610923095</c:v>
                </c:pt>
                <c:pt idx="4">
                  <c:v>16.439379567641545</c:v>
                </c:pt>
                <c:pt idx="5">
                  <c:v>17.727930402572756</c:v>
                </c:pt>
              </c:numCache>
            </c:numRef>
          </c:val>
          <c:extLst>
            <c:ext xmlns:c16="http://schemas.microsoft.com/office/drawing/2014/chart" uri="{C3380CC4-5D6E-409C-BE32-E72D297353CC}">
              <c16:uniqueId val="{00000002-31B0-4CCD-A700-74560CAC0298}"/>
            </c:ext>
          </c:extLst>
        </c:ser>
        <c:dLbls>
          <c:showLegendKey val="0"/>
          <c:showVal val="0"/>
          <c:showCatName val="0"/>
          <c:showSerName val="0"/>
          <c:showPercent val="0"/>
          <c:showBubbleSize val="0"/>
        </c:dLbls>
        <c:gapWidth val="150"/>
        <c:shape val="box"/>
        <c:axId val="2088422191"/>
        <c:axId val="2088438991"/>
        <c:axId val="0"/>
      </c:bar3DChart>
      <c:catAx>
        <c:axId val="20884221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438991"/>
        <c:crosses val="autoZero"/>
        <c:auto val="1"/>
        <c:lblAlgn val="ctr"/>
        <c:lblOffset val="100"/>
        <c:noMultiLvlLbl val="0"/>
      </c:catAx>
      <c:valAx>
        <c:axId val="2088438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42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889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 Dashboard in Excel.xlsx]Sheet3!PivotTable19</c:name>
    <c:fmtId val="7"/>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Sheet3!$G$3</c:f>
              <c:strCache>
                <c:ptCount val="1"/>
                <c:pt idx="0">
                  <c:v>Total</c:v>
                </c:pt>
              </c:strCache>
            </c:strRef>
          </c:tx>
          <c:spPr>
            <a:solidFill>
              <a:schemeClr val="accent1"/>
            </a:solidFill>
            <a:ln>
              <a:noFill/>
            </a:ln>
            <a:effectLst/>
            <a:sp3d/>
          </c:spPr>
          <c:invertIfNegative val="0"/>
          <c:cat>
            <c:strRef>
              <c:f>Sheet3!$F$4:$F$9</c:f>
              <c:strCache>
                <c:ptCount val="5"/>
                <c:pt idx="0">
                  <c:v>Dr. T. Mehta</c:v>
                </c:pt>
                <c:pt idx="1">
                  <c:v>Dr. R. Singh</c:v>
                </c:pt>
                <c:pt idx="2">
                  <c:v>Dr. M. Patel</c:v>
                </c:pt>
                <c:pt idx="3">
                  <c:v>Dr. L. Khan</c:v>
                </c:pt>
                <c:pt idx="4">
                  <c:v>Dr. A. Sharma</c:v>
                </c:pt>
              </c:strCache>
            </c:strRef>
          </c:cat>
          <c:val>
            <c:numRef>
              <c:f>Sheet3!$G$4:$G$9</c:f>
              <c:numCache>
                <c:formatCode>General</c:formatCode>
                <c:ptCount val="5"/>
                <c:pt idx="0">
                  <c:v>67.921052631578945</c:v>
                </c:pt>
                <c:pt idx="1">
                  <c:v>67.75555555555556</c:v>
                </c:pt>
                <c:pt idx="2">
                  <c:v>73.243902439024396</c:v>
                </c:pt>
                <c:pt idx="3">
                  <c:v>72.521739130434781</c:v>
                </c:pt>
                <c:pt idx="4">
                  <c:v>70.2</c:v>
                </c:pt>
              </c:numCache>
            </c:numRef>
          </c:val>
          <c:extLst>
            <c:ext xmlns:c16="http://schemas.microsoft.com/office/drawing/2014/chart" uri="{C3380CC4-5D6E-409C-BE32-E72D297353CC}">
              <c16:uniqueId val="{00000000-C35C-4D44-8131-886EFBCAA630}"/>
            </c:ext>
          </c:extLst>
        </c:ser>
        <c:dLbls>
          <c:showLegendKey val="0"/>
          <c:showVal val="0"/>
          <c:showCatName val="0"/>
          <c:showSerName val="0"/>
          <c:showPercent val="0"/>
          <c:showBubbleSize val="0"/>
        </c:dLbls>
        <c:gapWidth val="150"/>
        <c:shape val="box"/>
        <c:axId val="2088451951"/>
        <c:axId val="2088450991"/>
        <c:axId val="0"/>
      </c:bar3DChart>
      <c:catAx>
        <c:axId val="2088451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450991"/>
        <c:crosses val="autoZero"/>
        <c:auto val="1"/>
        <c:lblAlgn val="ctr"/>
        <c:lblOffset val="100"/>
        <c:noMultiLvlLbl val="0"/>
      </c:catAx>
      <c:valAx>
        <c:axId val="20884509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45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177800" dist="1143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 Dashboard in Excel.xlsx]Sheet3!PivotTable26</c:name>
    <c:fmtId val="6"/>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layout>
            <c:manualLayout>
              <c:x val="4.0986908358509558E-2"/>
              <c:y val="-0.236747449370385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991198230130599E-2"/>
                  <c:h val="9.191458071632097E-2"/>
                </c:manualLayout>
              </c15:layout>
            </c:ext>
          </c:extLst>
        </c:dLbl>
      </c:pivotFmt>
      <c:pivotFmt>
        <c:idx val="2"/>
        <c:spPr>
          <a:solidFill>
            <a:schemeClr val="bg1">
              <a:lumMod val="65000"/>
            </a:schemeClr>
          </a:solidFill>
          <a:ln w="19050">
            <a:solidFill>
              <a:schemeClr val="lt1"/>
            </a:solidFill>
          </a:ln>
          <a:effectLst/>
        </c:spPr>
        <c:dLbl>
          <c:idx val="0"/>
          <c:layout>
            <c:manualLayout>
              <c:x val="-0.12255017405301685"/>
              <c:y val="6.035267397671269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991198230130599E-2"/>
                  <c:h val="9.191458071632097E-2"/>
                </c:manualLayout>
              </c15:layout>
            </c:ext>
          </c:extLst>
        </c:dLbl>
      </c:pivotFmt>
      <c:pivotFmt>
        <c:idx val="3"/>
        <c:dLbl>
          <c:idx val="0"/>
          <c:layout>
            <c:manualLayout>
              <c:x val="-0.12064510629524786"/>
              <c:y val="-8.87322936772981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991198230130599E-2"/>
                  <c:h val="9.191458071632097E-2"/>
                </c:manualLayout>
              </c15:layout>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1458333333333333"/>
              <c:y val="-0.208333333333333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3"/>
          </a:solidFill>
          <a:ln w="19050">
            <a:solidFill>
              <a:schemeClr val="lt1"/>
            </a:solidFill>
          </a:ln>
          <a:effectLst/>
        </c:spPr>
        <c:dLbl>
          <c:idx val="0"/>
          <c:layout>
            <c:manualLayout>
              <c:x val="-0.11458333333333333"/>
              <c:y val="-0.1149425287356321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bg1">
              <a:lumMod val="50000"/>
            </a:schemeClr>
          </a:solidFill>
          <a:ln w="19050">
            <a:solidFill>
              <a:schemeClr val="lt1"/>
            </a:solidFill>
          </a:ln>
          <a:effectLst/>
        </c:spPr>
        <c:dLbl>
          <c:idx val="0"/>
          <c:layout>
            <c:manualLayout>
              <c:x val="-0.17708333333333334"/>
              <c:y val="6.465517241379310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1458333333333333"/>
              <c:y val="-0.208333333333333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bg1">
              <a:lumMod val="50000"/>
            </a:schemeClr>
          </a:solidFill>
          <a:ln w="19050">
            <a:solidFill>
              <a:schemeClr val="lt1"/>
            </a:solidFill>
          </a:ln>
          <a:effectLst/>
        </c:spPr>
        <c:dLbl>
          <c:idx val="0"/>
          <c:layout>
            <c:manualLayout>
              <c:x val="-0.17708333333333334"/>
              <c:y val="6.465517241379310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1458333333333333"/>
              <c:y val="-0.1149425287356321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1560693641618497"/>
              <c:y val="-0.2298850574712643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bg1">
              <a:lumMod val="50000"/>
            </a:schemeClr>
          </a:solidFill>
          <a:ln w="19050">
            <a:solidFill>
              <a:schemeClr val="lt1"/>
            </a:solidFill>
          </a:ln>
          <a:effectLst/>
        </c:spPr>
        <c:dLbl>
          <c:idx val="0"/>
          <c:layout>
            <c:manualLayout>
              <c:x val="-0.18786127167630057"/>
              <c:y val="8.620689655172414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3005780346820808"/>
              <c:y val="-9.33908045977011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Sheet3!$C$41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BD-46A1-BDA5-1F89D30C5D70}"/>
              </c:ext>
            </c:extLst>
          </c:dPt>
          <c:dPt>
            <c:idx val="1"/>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3-55BD-46A1-BDA5-1F89D30C5D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5BD-46A1-BDA5-1F89D30C5D70}"/>
              </c:ext>
            </c:extLst>
          </c:dPt>
          <c:dLbls>
            <c:dLbl>
              <c:idx val="0"/>
              <c:layout>
                <c:manualLayout>
                  <c:x val="0.11560693641618497"/>
                  <c:y val="-0.2298850574712643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5BD-46A1-BDA5-1F89D30C5D70}"/>
                </c:ext>
              </c:extLst>
            </c:dLbl>
            <c:dLbl>
              <c:idx val="1"/>
              <c:layout>
                <c:manualLayout>
                  <c:x val="-0.18786127167630057"/>
                  <c:y val="8.620689655172414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5BD-46A1-BDA5-1F89D30C5D70}"/>
                </c:ext>
              </c:extLst>
            </c:dLbl>
            <c:dLbl>
              <c:idx val="2"/>
              <c:layout>
                <c:manualLayout>
                  <c:x val="-0.13005780346820808"/>
                  <c:y val="-9.339080459770118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5BD-46A1-BDA5-1F89D30C5D7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Sheet3!$B$42:$B$45</c:f>
              <c:strCache>
                <c:ptCount val="3"/>
                <c:pt idx="0">
                  <c:v>Female</c:v>
                </c:pt>
                <c:pt idx="1">
                  <c:v>Male</c:v>
                </c:pt>
                <c:pt idx="2">
                  <c:v>Other</c:v>
                </c:pt>
              </c:strCache>
            </c:strRef>
          </c:cat>
          <c:val>
            <c:numRef>
              <c:f>Sheet3!$C$42:$C$45</c:f>
              <c:numCache>
                <c:formatCode>General</c:formatCode>
                <c:ptCount val="3"/>
                <c:pt idx="0">
                  <c:v>71.614035087719301</c:v>
                </c:pt>
                <c:pt idx="1">
                  <c:v>72.283950617283949</c:v>
                </c:pt>
                <c:pt idx="2">
                  <c:v>66.741935483870961</c:v>
                </c:pt>
              </c:numCache>
            </c:numRef>
          </c:val>
          <c:extLst>
            <c:ext xmlns:c16="http://schemas.microsoft.com/office/drawing/2014/chart" uri="{C3380CC4-5D6E-409C-BE32-E72D297353CC}">
              <c16:uniqueId val="{00000006-55BD-46A1-BDA5-1F89D30C5D70}"/>
            </c:ext>
          </c:extLst>
        </c:ser>
        <c:dLbls>
          <c:showLegendKey val="0"/>
          <c:showVal val="0"/>
          <c:showCatName val="0"/>
          <c:showSerName val="0"/>
          <c:showPercent val="0"/>
          <c:showBubbleSize val="0"/>
          <c:showLeaderLines val="0"/>
        </c:dLbls>
        <c:firstSliceAng val="10"/>
        <c:holeSize val="55"/>
      </c:doughnutChart>
      <c:spPr>
        <a:noFill/>
        <a:ln>
          <a:noFill/>
        </a:ln>
        <a:effectLst/>
      </c:spPr>
    </c:plotArea>
    <c:legend>
      <c:legendPos val="r"/>
      <c:layout>
        <c:manualLayout>
          <c:xMode val="edge"/>
          <c:yMode val="edge"/>
          <c:x val="0.72359735973597361"/>
          <c:y val="0.43072789392705224"/>
          <c:w val="0.21039603960396039"/>
          <c:h val="0.50398622047244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 Dashboard in Excel.xlsx]Sheet3!PivotTable28</c:name>
    <c:fmtId val="3"/>
  </c:pivotSource>
  <c:chart>
    <c:autoTitleDeleted val="1"/>
    <c:pivotFmts>
      <c:pivotFmt>
        <c:idx val="0"/>
        <c:spPr>
          <a:solidFill>
            <a:srgbClr val="00B0F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dLbl>
          <c:idx val="0"/>
          <c:layout>
            <c:manualLayout>
              <c:x val="0.15801137357830272"/>
              <c:y val="5.117381160688247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w="19050">
            <a:solidFill>
              <a:schemeClr val="lt1"/>
            </a:solidFill>
          </a:ln>
          <a:effectLst/>
        </c:spPr>
        <c:dLbl>
          <c:idx val="0"/>
          <c:layout>
            <c:manualLayout>
              <c:x val="-0.16078893263342081"/>
              <c:y val="-3.7525153105861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a:ln w="19050">
            <a:solidFill>
              <a:schemeClr val="lt1"/>
            </a:solidFill>
          </a:ln>
          <a:effectLst/>
        </c:spPr>
        <c:dLbl>
          <c:idx val="0"/>
          <c:layout>
            <c:manualLayout>
              <c:x val="-0.16078893263342081"/>
              <c:y val="-3.7525153105861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w="19050">
            <a:solidFill>
              <a:schemeClr val="lt1"/>
            </a:solidFill>
          </a:ln>
          <a:effectLst/>
        </c:spPr>
        <c:dLbl>
          <c:idx val="0"/>
          <c:layout>
            <c:manualLayout>
              <c:x val="0.15801137357830272"/>
              <c:y val="5.117381160688247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F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70C0"/>
          </a:solidFill>
          <a:ln w="19050">
            <a:solidFill>
              <a:schemeClr val="lt1"/>
            </a:solidFill>
          </a:ln>
          <a:effectLst/>
        </c:spPr>
        <c:dLbl>
          <c:idx val="0"/>
          <c:layout>
            <c:manualLayout>
              <c:x val="-0.16078893263342081"/>
              <c:y val="-3.7525153105861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w="19050">
            <a:solidFill>
              <a:schemeClr val="lt1"/>
            </a:solidFill>
          </a:ln>
          <a:effectLst/>
        </c:spPr>
        <c:dLbl>
          <c:idx val="0"/>
          <c:layout>
            <c:manualLayout>
              <c:x val="0.15801137357830272"/>
              <c:y val="5.117381160688247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Sheet3!$C$48</c:f>
              <c:strCache>
                <c:ptCount val="1"/>
                <c:pt idx="0">
                  <c:v>Total</c:v>
                </c:pt>
              </c:strCache>
            </c:strRef>
          </c:tx>
          <c:spPr>
            <a:solidFill>
              <a:srgbClr val="00B0F0"/>
            </a:solidFill>
          </c:spPr>
          <c:dPt>
            <c:idx val="0"/>
            <c:bubble3D val="0"/>
            <c:spPr>
              <a:solidFill>
                <a:srgbClr val="0070C0"/>
              </a:solidFill>
              <a:ln w="19050">
                <a:solidFill>
                  <a:schemeClr val="lt1"/>
                </a:solidFill>
              </a:ln>
              <a:effectLst/>
            </c:spPr>
            <c:extLst>
              <c:ext xmlns:c16="http://schemas.microsoft.com/office/drawing/2014/chart" uri="{C3380CC4-5D6E-409C-BE32-E72D297353CC}">
                <c16:uniqueId val="{00000001-172C-4D51-B60C-7A6F892B5E0D}"/>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172C-4D51-B60C-7A6F892B5E0D}"/>
              </c:ext>
            </c:extLst>
          </c:dPt>
          <c:dLbls>
            <c:dLbl>
              <c:idx val="0"/>
              <c:layout>
                <c:manualLayout>
                  <c:x val="-0.16078893263342081"/>
                  <c:y val="-3.752515310586185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2C-4D51-B60C-7A6F892B5E0D}"/>
                </c:ext>
              </c:extLst>
            </c:dLbl>
            <c:dLbl>
              <c:idx val="1"/>
              <c:layout>
                <c:manualLayout>
                  <c:x val="0.15801137357830272"/>
                  <c:y val="5.1173811606882473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72C-4D51-B60C-7A6F892B5E0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Sheet3!$B$49:$B$51</c:f>
              <c:strCache>
                <c:ptCount val="2"/>
                <c:pt idx="0">
                  <c:v>High Cost</c:v>
                </c:pt>
                <c:pt idx="1">
                  <c:v>Low  Cost</c:v>
                </c:pt>
              </c:strCache>
            </c:strRef>
          </c:cat>
          <c:val>
            <c:numRef>
              <c:f>Sheet3!$C$49:$C$51</c:f>
              <c:numCache>
                <c:formatCode>0.0</c:formatCode>
                <c:ptCount val="2"/>
                <c:pt idx="0">
                  <c:v>72.254716981132077</c:v>
                </c:pt>
                <c:pt idx="1">
                  <c:v>68.255319148936167</c:v>
                </c:pt>
              </c:numCache>
            </c:numRef>
          </c:val>
          <c:extLst>
            <c:ext xmlns:c16="http://schemas.microsoft.com/office/drawing/2014/chart" uri="{C3380CC4-5D6E-409C-BE32-E72D297353CC}">
              <c16:uniqueId val="{00000004-172C-4D51-B60C-7A6F892B5E0D}"/>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 Dashboard in Excel.xlsx]Sheet3!PivotTable18</c:name>
    <c:fmtId val="0"/>
  </c:pivotSource>
  <c:chart>
    <c:autoTitleDeleted val="0"/>
    <c:pivotFmts>
      <c:pivotFmt>
        <c:idx val="0"/>
        <c:spPr>
          <a:solidFill>
            <a:schemeClr val="accent3">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c:f>
              <c:strCache>
                <c:ptCount val="1"/>
                <c:pt idx="0">
                  <c:v>Average of Recovery Score</c:v>
                </c:pt>
              </c:strCache>
            </c:strRef>
          </c:tx>
          <c:spPr>
            <a:solidFill>
              <a:schemeClr val="accent3">
                <a:lumMod val="50000"/>
              </a:schemeClr>
            </a:solidFill>
            <a:ln>
              <a:noFill/>
            </a:ln>
            <a:effectLst/>
            <a:sp3d/>
          </c:spPr>
          <c:invertIfNegative val="0"/>
          <c:cat>
            <c:strRef>
              <c:f>Sheet3!$A$4:$A$10</c:f>
              <c:strCache>
                <c:ptCount val="6"/>
                <c:pt idx="0">
                  <c:v>Cardiology</c:v>
                </c:pt>
                <c:pt idx="1">
                  <c:v>Gastroenterology</c:v>
                </c:pt>
                <c:pt idx="2">
                  <c:v>Neurology</c:v>
                </c:pt>
                <c:pt idx="3">
                  <c:v>Oncology</c:v>
                </c:pt>
                <c:pt idx="4">
                  <c:v>Orthopedics</c:v>
                </c:pt>
                <c:pt idx="5">
                  <c:v>Pediatrics</c:v>
                </c:pt>
              </c:strCache>
            </c:strRef>
          </c:cat>
          <c:val>
            <c:numRef>
              <c:f>Sheet3!$B$4:$B$10</c:f>
              <c:numCache>
                <c:formatCode>General</c:formatCode>
                <c:ptCount val="6"/>
                <c:pt idx="0">
                  <c:v>70.5</c:v>
                </c:pt>
                <c:pt idx="1">
                  <c:v>71.804878048780495</c:v>
                </c:pt>
                <c:pt idx="2">
                  <c:v>66.392857142857139</c:v>
                </c:pt>
                <c:pt idx="3">
                  <c:v>72.41935483870968</c:v>
                </c:pt>
                <c:pt idx="4">
                  <c:v>67.263157894736835</c:v>
                </c:pt>
                <c:pt idx="5">
                  <c:v>73.131578947368425</c:v>
                </c:pt>
              </c:numCache>
            </c:numRef>
          </c:val>
          <c:extLst>
            <c:ext xmlns:c16="http://schemas.microsoft.com/office/drawing/2014/chart" uri="{C3380CC4-5D6E-409C-BE32-E72D297353CC}">
              <c16:uniqueId val="{00000000-2BED-4BFD-8657-6A37374E4807}"/>
            </c:ext>
          </c:extLst>
        </c:ser>
        <c:ser>
          <c:idx val="1"/>
          <c:order val="1"/>
          <c:tx>
            <c:strRef>
              <c:f>Sheet3!$C$3</c:f>
              <c:strCache>
                <c:ptCount val="1"/>
                <c:pt idx="0">
                  <c:v>Min of Recovery Score</c:v>
                </c:pt>
              </c:strCache>
            </c:strRef>
          </c:tx>
          <c:spPr>
            <a:solidFill>
              <a:srgbClr val="0070C0"/>
            </a:solidFill>
            <a:ln>
              <a:noFill/>
            </a:ln>
            <a:effectLst/>
            <a:sp3d/>
          </c:spPr>
          <c:invertIfNegative val="0"/>
          <c:cat>
            <c:strRef>
              <c:f>Sheet3!$A$4:$A$10</c:f>
              <c:strCache>
                <c:ptCount val="6"/>
                <c:pt idx="0">
                  <c:v>Cardiology</c:v>
                </c:pt>
                <c:pt idx="1">
                  <c:v>Gastroenterology</c:v>
                </c:pt>
                <c:pt idx="2">
                  <c:v>Neurology</c:v>
                </c:pt>
                <c:pt idx="3">
                  <c:v>Oncology</c:v>
                </c:pt>
                <c:pt idx="4">
                  <c:v>Orthopedics</c:v>
                </c:pt>
                <c:pt idx="5">
                  <c:v>Pediatrics</c:v>
                </c:pt>
              </c:strCache>
            </c:strRef>
          </c:cat>
          <c:val>
            <c:numRef>
              <c:f>Sheet3!$C$4:$C$10</c:f>
              <c:numCache>
                <c:formatCode>General</c:formatCode>
                <c:ptCount val="6"/>
                <c:pt idx="0">
                  <c:v>41</c:v>
                </c:pt>
                <c:pt idx="1">
                  <c:v>40</c:v>
                </c:pt>
                <c:pt idx="2">
                  <c:v>40</c:v>
                </c:pt>
                <c:pt idx="3">
                  <c:v>41</c:v>
                </c:pt>
                <c:pt idx="4">
                  <c:v>40</c:v>
                </c:pt>
                <c:pt idx="5">
                  <c:v>42</c:v>
                </c:pt>
              </c:numCache>
            </c:numRef>
          </c:val>
          <c:extLst>
            <c:ext xmlns:c16="http://schemas.microsoft.com/office/drawing/2014/chart" uri="{C3380CC4-5D6E-409C-BE32-E72D297353CC}">
              <c16:uniqueId val="{00000001-2BED-4BFD-8657-6A37374E4807}"/>
            </c:ext>
          </c:extLst>
        </c:ser>
        <c:ser>
          <c:idx val="2"/>
          <c:order val="2"/>
          <c:tx>
            <c:strRef>
              <c:f>Sheet3!$D$3</c:f>
              <c:strCache>
                <c:ptCount val="1"/>
                <c:pt idx="0">
                  <c:v>StdDev Recovery Score</c:v>
                </c:pt>
              </c:strCache>
            </c:strRef>
          </c:tx>
          <c:spPr>
            <a:solidFill>
              <a:schemeClr val="bg2">
                <a:lumMod val="25000"/>
              </a:schemeClr>
            </a:solidFill>
            <a:ln>
              <a:noFill/>
            </a:ln>
            <a:effectLst/>
            <a:sp3d/>
          </c:spPr>
          <c:invertIfNegative val="0"/>
          <c:cat>
            <c:strRef>
              <c:f>Sheet3!$A$4:$A$10</c:f>
              <c:strCache>
                <c:ptCount val="6"/>
                <c:pt idx="0">
                  <c:v>Cardiology</c:v>
                </c:pt>
                <c:pt idx="1">
                  <c:v>Gastroenterology</c:v>
                </c:pt>
                <c:pt idx="2">
                  <c:v>Neurology</c:v>
                </c:pt>
                <c:pt idx="3">
                  <c:v>Oncology</c:v>
                </c:pt>
                <c:pt idx="4">
                  <c:v>Orthopedics</c:v>
                </c:pt>
                <c:pt idx="5">
                  <c:v>Pediatrics</c:v>
                </c:pt>
              </c:strCache>
            </c:strRef>
          </c:cat>
          <c:val>
            <c:numRef>
              <c:f>Sheet3!$D$4:$D$10</c:f>
              <c:numCache>
                <c:formatCode>General</c:formatCode>
                <c:ptCount val="6"/>
                <c:pt idx="0">
                  <c:v>19.571496576932219</c:v>
                </c:pt>
                <c:pt idx="1">
                  <c:v>16.895590419093264</c:v>
                </c:pt>
                <c:pt idx="2">
                  <c:v>19.085265376655212</c:v>
                </c:pt>
                <c:pt idx="3">
                  <c:v>17.819042610923095</c:v>
                </c:pt>
                <c:pt idx="4">
                  <c:v>16.439379567641545</c:v>
                </c:pt>
                <c:pt idx="5">
                  <c:v>17.727930402572756</c:v>
                </c:pt>
              </c:numCache>
            </c:numRef>
          </c:val>
          <c:extLst>
            <c:ext xmlns:c16="http://schemas.microsoft.com/office/drawing/2014/chart" uri="{C3380CC4-5D6E-409C-BE32-E72D297353CC}">
              <c16:uniqueId val="{00000002-2BED-4BFD-8657-6A37374E4807}"/>
            </c:ext>
          </c:extLst>
        </c:ser>
        <c:dLbls>
          <c:showLegendKey val="0"/>
          <c:showVal val="0"/>
          <c:showCatName val="0"/>
          <c:showSerName val="0"/>
          <c:showPercent val="0"/>
          <c:showBubbleSize val="0"/>
        </c:dLbls>
        <c:gapWidth val="150"/>
        <c:shape val="box"/>
        <c:axId val="2088422191"/>
        <c:axId val="2088438991"/>
        <c:axId val="0"/>
      </c:bar3DChart>
      <c:catAx>
        <c:axId val="20884221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438991"/>
        <c:crosses val="autoZero"/>
        <c:auto val="1"/>
        <c:lblAlgn val="ctr"/>
        <c:lblOffset val="100"/>
        <c:noMultiLvlLbl val="0"/>
      </c:catAx>
      <c:valAx>
        <c:axId val="2088438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422191"/>
        <c:crosses val="autoZero"/>
        <c:crossBetween val="between"/>
      </c:valAx>
      <c:spPr>
        <a:noFill/>
        <a:ln>
          <a:noFill/>
        </a:ln>
        <a:effectLst/>
      </c:spPr>
    </c:plotArea>
    <c:legend>
      <c:legendPos val="r"/>
      <c:layout>
        <c:manualLayout>
          <c:xMode val="edge"/>
          <c:yMode val="edge"/>
          <c:x val="0.65977187226596679"/>
          <c:y val="0.63158573928258976"/>
          <c:w val="0.33333333333333331"/>
          <c:h val="0.301642971711869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889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 Dashboard in Excel.xlsx]Sheet3!PivotTable19</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Sheet3!$G$3</c:f>
              <c:strCache>
                <c:ptCount val="1"/>
                <c:pt idx="0">
                  <c:v>Total</c:v>
                </c:pt>
              </c:strCache>
            </c:strRef>
          </c:tx>
          <c:spPr>
            <a:solidFill>
              <a:schemeClr val="accent1"/>
            </a:solidFill>
            <a:ln>
              <a:noFill/>
            </a:ln>
            <a:effectLst/>
            <a:sp3d/>
          </c:spPr>
          <c:invertIfNegative val="0"/>
          <c:cat>
            <c:strRef>
              <c:f>Sheet3!$F$4:$F$9</c:f>
              <c:strCache>
                <c:ptCount val="5"/>
                <c:pt idx="0">
                  <c:v>Dr. T. Mehta</c:v>
                </c:pt>
                <c:pt idx="1">
                  <c:v>Dr. R. Singh</c:v>
                </c:pt>
                <c:pt idx="2">
                  <c:v>Dr. M. Patel</c:v>
                </c:pt>
                <c:pt idx="3">
                  <c:v>Dr. L. Khan</c:v>
                </c:pt>
                <c:pt idx="4">
                  <c:v>Dr. A. Sharma</c:v>
                </c:pt>
              </c:strCache>
            </c:strRef>
          </c:cat>
          <c:val>
            <c:numRef>
              <c:f>Sheet3!$G$4:$G$9</c:f>
              <c:numCache>
                <c:formatCode>General</c:formatCode>
                <c:ptCount val="5"/>
                <c:pt idx="0">
                  <c:v>67.921052631578945</c:v>
                </c:pt>
                <c:pt idx="1">
                  <c:v>67.75555555555556</c:v>
                </c:pt>
                <c:pt idx="2">
                  <c:v>73.243902439024396</c:v>
                </c:pt>
                <c:pt idx="3">
                  <c:v>72.521739130434781</c:v>
                </c:pt>
                <c:pt idx="4">
                  <c:v>70.2</c:v>
                </c:pt>
              </c:numCache>
            </c:numRef>
          </c:val>
          <c:extLst>
            <c:ext xmlns:c16="http://schemas.microsoft.com/office/drawing/2014/chart" uri="{C3380CC4-5D6E-409C-BE32-E72D297353CC}">
              <c16:uniqueId val="{00000000-940E-405E-BD91-7968A41E3559}"/>
            </c:ext>
          </c:extLst>
        </c:ser>
        <c:dLbls>
          <c:showLegendKey val="0"/>
          <c:showVal val="0"/>
          <c:showCatName val="0"/>
          <c:showSerName val="0"/>
          <c:showPercent val="0"/>
          <c:showBubbleSize val="0"/>
        </c:dLbls>
        <c:gapWidth val="150"/>
        <c:shape val="box"/>
        <c:axId val="2088451951"/>
        <c:axId val="2088450991"/>
        <c:axId val="0"/>
      </c:bar3DChart>
      <c:catAx>
        <c:axId val="2088451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450991"/>
        <c:crosses val="autoZero"/>
        <c:auto val="1"/>
        <c:lblAlgn val="ctr"/>
        <c:lblOffset val="100"/>
        <c:noMultiLvlLbl val="0"/>
      </c:catAx>
      <c:valAx>
        <c:axId val="20884509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451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177800" dist="1143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 Dashboard in Excel.xlsx]Sheet3!PivotTable26</c:name>
    <c:fmtId val="0"/>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layout>
            <c:manualLayout>
              <c:x val="4.0986908358509558E-2"/>
              <c:y val="-0.236747449370385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991198230130599E-2"/>
                  <c:h val="9.191458071632097E-2"/>
                </c:manualLayout>
              </c15:layout>
            </c:ext>
          </c:extLst>
        </c:dLbl>
      </c:pivotFmt>
      <c:pivotFmt>
        <c:idx val="2"/>
        <c:spPr>
          <a:solidFill>
            <a:schemeClr val="bg1">
              <a:lumMod val="65000"/>
            </a:schemeClr>
          </a:solidFill>
          <a:ln w="19050">
            <a:solidFill>
              <a:schemeClr val="lt1"/>
            </a:solidFill>
          </a:ln>
          <a:effectLst/>
        </c:spPr>
        <c:dLbl>
          <c:idx val="0"/>
          <c:layout>
            <c:manualLayout>
              <c:x val="-0.12255017405301685"/>
              <c:y val="6.035267397671269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991198230130599E-2"/>
                  <c:h val="9.191458071632097E-2"/>
                </c:manualLayout>
              </c15:layout>
            </c:ext>
          </c:extLst>
        </c:dLbl>
      </c:pivotFmt>
      <c:pivotFmt>
        <c:idx val="3"/>
        <c:dLbl>
          <c:idx val="0"/>
          <c:layout>
            <c:manualLayout>
              <c:x val="-0.12064510629524786"/>
              <c:y val="-8.87322936772981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991198230130599E-2"/>
                  <c:h val="9.191458071632097E-2"/>
                </c:manualLayout>
              </c15:layout>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1458333333333333"/>
              <c:y val="-0.208333333333333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1458333333333333"/>
              <c:y val="-0.1149425287356321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bg1">
              <a:lumMod val="50000"/>
            </a:schemeClr>
          </a:solidFill>
          <a:ln w="19050">
            <a:solidFill>
              <a:schemeClr val="lt1"/>
            </a:solidFill>
          </a:ln>
          <a:effectLst/>
        </c:spPr>
        <c:dLbl>
          <c:idx val="0"/>
          <c:layout>
            <c:manualLayout>
              <c:x val="-0.17708333333333334"/>
              <c:y val="6.465517241379310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Sheet3!$C$41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C6B6-4668-87CA-FC972A233646}"/>
              </c:ext>
            </c:extLst>
          </c:dPt>
          <c:dPt>
            <c:idx val="1"/>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8-C6B6-4668-87CA-FC972A2336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7-C6B6-4668-87CA-FC972A233646}"/>
              </c:ext>
            </c:extLst>
          </c:dPt>
          <c:dLbls>
            <c:dLbl>
              <c:idx val="0"/>
              <c:layout>
                <c:manualLayout>
                  <c:x val="0.11458333333333333"/>
                  <c:y val="-0.208333333333333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C6B6-4668-87CA-FC972A233646}"/>
                </c:ext>
              </c:extLst>
            </c:dLbl>
            <c:dLbl>
              <c:idx val="1"/>
              <c:layout>
                <c:manualLayout>
                  <c:x val="-0.17708333333333334"/>
                  <c:y val="6.465517241379310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C6B6-4668-87CA-FC972A233646}"/>
                </c:ext>
              </c:extLst>
            </c:dLbl>
            <c:dLbl>
              <c:idx val="2"/>
              <c:layout>
                <c:manualLayout>
                  <c:x val="-0.11458333333333333"/>
                  <c:y val="-0.1149425287356321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6B6-4668-87CA-FC972A23364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Sheet3!$B$42:$B$45</c:f>
              <c:strCache>
                <c:ptCount val="3"/>
                <c:pt idx="0">
                  <c:v>Female</c:v>
                </c:pt>
                <c:pt idx="1">
                  <c:v>Male</c:v>
                </c:pt>
                <c:pt idx="2">
                  <c:v>Other</c:v>
                </c:pt>
              </c:strCache>
            </c:strRef>
          </c:cat>
          <c:val>
            <c:numRef>
              <c:f>Sheet3!$C$42:$C$45</c:f>
              <c:numCache>
                <c:formatCode>General</c:formatCode>
                <c:ptCount val="3"/>
                <c:pt idx="0">
                  <c:v>71.614035087719301</c:v>
                </c:pt>
                <c:pt idx="1">
                  <c:v>72.283950617283949</c:v>
                </c:pt>
                <c:pt idx="2">
                  <c:v>66.741935483870961</c:v>
                </c:pt>
              </c:numCache>
            </c:numRef>
          </c:val>
          <c:extLst>
            <c:ext xmlns:c16="http://schemas.microsoft.com/office/drawing/2014/chart" uri="{C3380CC4-5D6E-409C-BE32-E72D297353CC}">
              <c16:uniqueId val="{00000005-C6B6-4668-87CA-FC972A233646}"/>
            </c:ext>
          </c:extLst>
        </c:ser>
        <c:dLbls>
          <c:showLegendKey val="0"/>
          <c:showVal val="0"/>
          <c:showCatName val="0"/>
          <c:showSerName val="0"/>
          <c:showPercent val="0"/>
          <c:showBubbleSize val="0"/>
          <c:showLeaderLines val="0"/>
        </c:dLbls>
        <c:firstSliceAng val="10"/>
        <c:holeSize val="55"/>
      </c:doughnutChart>
      <c:spPr>
        <a:noFill/>
        <a:ln>
          <a:noFill/>
        </a:ln>
        <a:effectLst/>
      </c:spPr>
    </c:plotArea>
    <c:legend>
      <c:legendPos val="r"/>
      <c:layout>
        <c:manualLayout>
          <c:xMode val="edge"/>
          <c:yMode val="edge"/>
          <c:x val="0.72359735973597361"/>
          <c:y val="0.43072789392705224"/>
          <c:w val="0.21039603960396039"/>
          <c:h val="0.50398622047244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 Dashboard in Excel.xlsx]Sheet3!PivotTable28</c:name>
    <c:fmtId val="0"/>
  </c:pivotSource>
  <c:chart>
    <c:autoTitleDeleted val="1"/>
    <c:pivotFmts>
      <c:pivotFmt>
        <c:idx val="0"/>
        <c:spPr>
          <a:solidFill>
            <a:srgbClr val="00B0F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dLbl>
          <c:idx val="0"/>
          <c:layout>
            <c:manualLayout>
              <c:x val="0.15801137357830272"/>
              <c:y val="5.117381160688247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w="19050">
            <a:solidFill>
              <a:schemeClr val="lt1"/>
            </a:solidFill>
          </a:ln>
          <a:effectLst/>
        </c:spPr>
        <c:dLbl>
          <c:idx val="0"/>
          <c:layout>
            <c:manualLayout>
              <c:x val="-0.16078893263342081"/>
              <c:y val="-3.7525153105861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Sheet3!$C$48</c:f>
              <c:strCache>
                <c:ptCount val="1"/>
                <c:pt idx="0">
                  <c:v>Total</c:v>
                </c:pt>
              </c:strCache>
            </c:strRef>
          </c:tx>
          <c:spPr>
            <a:solidFill>
              <a:srgbClr val="00B0F0"/>
            </a:solidFill>
          </c:spPr>
          <c:dPt>
            <c:idx val="0"/>
            <c:bubble3D val="0"/>
            <c:spPr>
              <a:solidFill>
                <a:srgbClr val="0070C0"/>
              </a:solidFill>
              <a:ln w="19050">
                <a:solidFill>
                  <a:schemeClr val="lt1"/>
                </a:solidFill>
              </a:ln>
              <a:effectLst/>
            </c:spPr>
            <c:extLst>
              <c:ext xmlns:c16="http://schemas.microsoft.com/office/drawing/2014/chart" uri="{C3380CC4-5D6E-409C-BE32-E72D297353CC}">
                <c16:uniqueId val="{00000003-24E4-4B8B-B432-D258CF443488}"/>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2-24E4-4B8B-B432-D258CF443488}"/>
              </c:ext>
            </c:extLst>
          </c:dPt>
          <c:dLbls>
            <c:dLbl>
              <c:idx val="0"/>
              <c:layout>
                <c:manualLayout>
                  <c:x val="-0.16078893263342081"/>
                  <c:y val="-3.752515310586185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4E4-4B8B-B432-D258CF443488}"/>
                </c:ext>
              </c:extLst>
            </c:dLbl>
            <c:dLbl>
              <c:idx val="1"/>
              <c:layout>
                <c:manualLayout>
                  <c:x val="0.15801137357830272"/>
                  <c:y val="5.1173811606882473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4E4-4B8B-B432-D258CF44348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Sheet3!$B$49:$B$51</c:f>
              <c:strCache>
                <c:ptCount val="2"/>
                <c:pt idx="0">
                  <c:v>High Cost</c:v>
                </c:pt>
                <c:pt idx="1">
                  <c:v>Low  Cost</c:v>
                </c:pt>
              </c:strCache>
            </c:strRef>
          </c:cat>
          <c:val>
            <c:numRef>
              <c:f>Sheet3!$C$49:$C$51</c:f>
              <c:numCache>
                <c:formatCode>0.0</c:formatCode>
                <c:ptCount val="2"/>
                <c:pt idx="0">
                  <c:v>72.254716981132077</c:v>
                </c:pt>
                <c:pt idx="1">
                  <c:v>68.255319148936167</c:v>
                </c:pt>
              </c:numCache>
            </c:numRef>
          </c:val>
          <c:extLst>
            <c:ext xmlns:c16="http://schemas.microsoft.com/office/drawing/2014/chart" uri="{C3380CC4-5D6E-409C-BE32-E72D297353CC}">
              <c16:uniqueId val="{00000000-24E4-4B8B-B432-D258CF443488}"/>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rich>
          <a:bodyPr spcFirstLastPara="1" vertOverflow="ellipsis" horzOverflow="overflow" wrap="square" lIns="0" tIns="0" rIns="0" bIns="0" anchor="ctr" anchorCtr="1"/>
          <a:lstStyle/>
          <a:p>
            <a:pPr algn="ctr" rtl="0">
              <a:defRPr/>
            </a:pPr>
            <a:r>
              <a:rPr lang="en-US" sz="1400" b="1" i="0" u="none" strike="noStrike" baseline="0">
                <a:solidFill>
                  <a:schemeClr val="accent3">
                    <a:lumMod val="50000"/>
                  </a:schemeClr>
                </a:solidFill>
                <a:latin typeface="Aptos Narrow" panose="02110004020202020204"/>
              </a:rPr>
              <a:t>Treatment</a:t>
            </a:r>
            <a:r>
              <a:rPr lang="en-US" sz="1400" b="0" i="0" u="none" strike="noStrike" baseline="0">
                <a:solidFill>
                  <a:sysClr val="windowText" lastClr="000000">
                    <a:lumMod val="65000"/>
                    <a:lumOff val="35000"/>
                  </a:sysClr>
                </a:solidFill>
                <a:latin typeface="Aptos Narrow" panose="02110004020202020204"/>
              </a:rPr>
              <a:t> </a:t>
            </a:r>
            <a:r>
              <a:rPr lang="en-US" sz="1400" b="1" i="0" u="none" strike="noStrike" baseline="0">
                <a:solidFill>
                  <a:schemeClr val="accent3">
                    <a:lumMod val="50000"/>
                  </a:schemeClr>
                </a:solidFill>
                <a:latin typeface="Aptos Narrow" panose="02110004020202020204"/>
              </a:rPr>
              <a:t>Type</a:t>
            </a:r>
          </a:p>
        </cx:rich>
      </cx:tx>
    </cx:title>
    <cx:plotArea>
      <cx:plotAreaRegion>
        <cx:series layoutId="funnel" uniqueId="{C4E64F22-2ACA-490C-BF74-EE34318E78A8}">
          <cx:tx>
            <cx:txData>
              <cx:f/>
              <cx:v>Treatment Type</cx:v>
            </cx:txData>
          </cx:tx>
          <cx:dataId val="0"/>
        </cx:series>
      </cx:plotAreaRegion>
      <cx:axis id="0">
        <cx:catScaling gapWidth="0.330000013"/>
        <cx:tickLabels/>
      </cx:axis>
    </cx:plotArea>
  </cx:chart>
  <cx:spPr>
    <a:effectLst>
      <a:outerShdw blurRad="50800" dist="38100" dir="5400000" algn="t"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Avg Recovery Score by Age Group</cx:v>
        </cx:txData>
      </cx:tx>
      <cx:txPr>
        <a:bodyPr spcFirstLastPara="1" vertOverflow="ellipsis" horzOverflow="overflow" wrap="square" lIns="0" tIns="0" rIns="0" bIns="0" anchor="ctr" anchorCtr="1"/>
        <a:lstStyle/>
        <a:p>
          <a:pPr algn="ctr" rtl="0">
            <a:defRPr/>
          </a:pPr>
          <a:r>
            <a:rPr lang="en-US" sz="1400" b="1" i="0" u="none" strike="noStrike" baseline="0">
              <a:solidFill>
                <a:schemeClr val="accent3">
                  <a:lumMod val="50000"/>
                </a:schemeClr>
              </a:solidFill>
              <a:latin typeface="Aptos Narrow" panose="02110004020202020204"/>
            </a:rPr>
            <a:t>Avg Recovery Score by Age Group</a:t>
          </a:r>
        </a:p>
      </cx:txPr>
    </cx:title>
    <cx:plotArea>
      <cx:plotAreaRegion>
        <cx:series layoutId="treemap" uniqueId="{DCE1E224-5310-4815-9678-FC6910BCDB52}">
          <cx:tx>
            <cx:txData>
              <cx:f/>
              <cx:v>Avg Recovery Score By Age Group</cx:v>
            </cx:txData>
          </cx:tx>
          <cx:dataId val="0"/>
          <cx:layoutPr/>
        </cx:series>
      </cx:plotAreaRegion>
    </cx:plotArea>
    <cx:legend pos="t" align="ctr" overlay="0"/>
  </cx:chart>
  <cx:spPr>
    <a:ln>
      <a:solidFill>
        <a:sysClr val="windowText" lastClr="000000">
          <a:lumMod val="25000"/>
          <a:lumOff val="75000"/>
        </a:sysClr>
      </a:solidFill>
    </a:ln>
    <a:effectLst>
      <a:outerShdw blurRad="50800" dist="38100" dir="5400000" algn="t" rotWithShape="0">
        <a:prstClr val="black">
          <a:alpha val="40000"/>
        </a:prstClr>
      </a:outerShdw>
    </a:effectLst>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title pos="t" align="ctr" overlay="0">
      <cx:tx>
        <cx:txData>
          <cx:v>Treatment Type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Treatment Type</a:t>
          </a:r>
        </a:p>
      </cx:txPr>
    </cx:title>
    <cx:plotArea>
      <cx:plotAreaRegion>
        <cx:series layoutId="funnel" uniqueId="{C4E64F22-2ACA-490C-BF74-EE34318E78A8}">
          <cx:tx>
            <cx:txData>
              <cx:f/>
              <cx:v>Treatment Type</cx:v>
            </cx:txData>
          </cx:tx>
          <cx:dataId val="0"/>
        </cx:series>
      </cx:plotAreaRegion>
      <cx:axis id="0">
        <cx:catScaling gapWidth="0.330000013"/>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plotArea>
      <cx:plotAreaRegion>
        <cx:series layoutId="funnel" uniqueId="{4F783016-63E8-496A-B927-4EF57043C882}">
          <cx:tx>
            <cx:txData>
              <cx:f/>
              <cx:v>Treatment Type</cx:v>
            </cx:txData>
          </cx:tx>
          <cx:dataId val="0"/>
        </cx:series>
      </cx:plotAreaRegion>
      <cx:axis id="0">
        <cx:catScaling gapWidth="0.0599999987"/>
        <cx:tickLabels/>
      </cx:axis>
    </cx:plotArea>
  </cx:chart>
  <cx:spPr>
    <a:effectLst>
      <a:outerShdw blurRad="50800" dist="38100" dir="5400000" algn="t" rotWithShape="0">
        <a:prstClr val="black">
          <a:alpha val="40000"/>
        </a:prstClr>
      </a:outerShdw>
    </a:effectLst>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title pos="t" align="ctr" overlay="0"/>
    <cx:plotArea>
      <cx:plotAreaRegion>
        <cx:series layoutId="treemap" uniqueId="{DCE1E224-5310-4815-9678-FC6910BCDB52}">
          <cx:tx>
            <cx:txData>
              <cx:f/>
              <cx:v>Avg Recovery Score By Age Group</cx:v>
            </cx:txData>
          </cx:tx>
          <cx:dataId val="0"/>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3.xml"/><Relationship Id="rId1" Type="http://schemas.openxmlformats.org/officeDocument/2006/relationships/chart" Target="../charts/chart2.xml"/><Relationship Id="rId6" Type="http://schemas.microsoft.com/office/2014/relationships/chartEx" Target="../charts/chartEx2.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microsoft.com/office/2014/relationships/chartEx" Target="../charts/chartEx3.xml"/><Relationship Id="rId7" Type="http://schemas.microsoft.com/office/2014/relationships/chartEx" Target="../charts/chartEx5.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9.xml"/><Relationship Id="rId5" Type="http://schemas.microsoft.com/office/2014/relationships/chartEx" Target="../charts/chartEx4.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9</xdr:col>
      <xdr:colOff>502920</xdr:colOff>
      <xdr:row>10</xdr:row>
      <xdr:rowOff>137161</xdr:rowOff>
    </xdr:from>
    <xdr:to>
      <xdr:col>12</xdr:col>
      <xdr:colOff>502920</xdr:colOff>
      <xdr:row>22</xdr:row>
      <xdr:rowOff>1</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4AD6121F-764D-7C58-BE6C-B77F96F63A7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736580" y="1965961"/>
              <a:ext cx="1828800" cy="2057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487680</xdr:colOff>
      <xdr:row>1</xdr:row>
      <xdr:rowOff>99061</xdr:rowOff>
    </xdr:from>
    <xdr:to>
      <xdr:col>12</xdr:col>
      <xdr:colOff>487680</xdr:colOff>
      <xdr:row>9</xdr:row>
      <xdr:rowOff>152401</xdr:rowOff>
    </xdr:to>
    <mc:AlternateContent xmlns:mc="http://schemas.openxmlformats.org/markup-compatibility/2006" xmlns:a14="http://schemas.microsoft.com/office/drawing/2010/main">
      <mc:Choice Requires="a14">
        <xdr:graphicFrame macro="">
          <xdr:nvGraphicFramePr>
            <xdr:cNvPr id="3" name="Treatment Type">
              <a:extLst>
                <a:ext uri="{FF2B5EF4-FFF2-40B4-BE49-F238E27FC236}">
                  <a16:creationId xmlns:a16="http://schemas.microsoft.com/office/drawing/2014/main" id="{D06D1751-0AD0-4224-487F-7D94189192F0}"/>
                </a:ext>
              </a:extLst>
            </xdr:cNvPr>
            <xdr:cNvGraphicFramePr/>
          </xdr:nvGraphicFramePr>
          <xdr:xfrm>
            <a:off x="0" y="0"/>
            <a:ext cx="0" cy="0"/>
          </xdr:xfrm>
          <a:graphic>
            <a:graphicData uri="http://schemas.microsoft.com/office/drawing/2010/slicer">
              <sle:slicer xmlns:sle="http://schemas.microsoft.com/office/drawing/2010/slicer" name="Treatment Type"/>
            </a:graphicData>
          </a:graphic>
        </xdr:graphicFrame>
      </mc:Choice>
      <mc:Fallback xmlns="">
        <xdr:sp macro="" textlink="">
          <xdr:nvSpPr>
            <xdr:cNvPr id="0" name=""/>
            <xdr:cNvSpPr>
              <a:spLocks noTextEdit="1"/>
            </xdr:cNvSpPr>
          </xdr:nvSpPr>
          <xdr:spPr>
            <a:xfrm>
              <a:off x="10721340" y="281941"/>
              <a:ext cx="1828800" cy="15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350520</xdr:colOff>
      <xdr:row>9</xdr:row>
      <xdr:rowOff>53341</xdr:rowOff>
    </xdr:from>
    <xdr:to>
      <xdr:col>9</xdr:col>
      <xdr:colOff>350520</xdr:colOff>
      <xdr:row>18</xdr:row>
      <xdr:rowOff>114301</xdr:rowOff>
    </xdr:to>
    <mc:AlternateContent xmlns:mc="http://schemas.openxmlformats.org/markup-compatibility/2006" xmlns:a14="http://schemas.microsoft.com/office/drawing/2010/main">
      <mc:Choice Requires="a14">
        <xdr:graphicFrame macro="">
          <xdr:nvGraphicFramePr>
            <xdr:cNvPr id="4" name="Doctor Name">
              <a:extLst>
                <a:ext uri="{FF2B5EF4-FFF2-40B4-BE49-F238E27FC236}">
                  <a16:creationId xmlns:a16="http://schemas.microsoft.com/office/drawing/2014/main" id="{D96A37D9-C734-E251-5D4B-47CD007CE42B}"/>
                </a:ext>
              </a:extLst>
            </xdr:cNvPr>
            <xdr:cNvGraphicFramePr/>
          </xdr:nvGraphicFramePr>
          <xdr:xfrm>
            <a:off x="0" y="0"/>
            <a:ext cx="0" cy="0"/>
          </xdr:xfrm>
          <a:graphic>
            <a:graphicData uri="http://schemas.microsoft.com/office/drawing/2010/slicer">
              <sle:slicer xmlns:sle="http://schemas.microsoft.com/office/drawing/2010/slicer" name="Doctor Name"/>
            </a:graphicData>
          </a:graphic>
        </xdr:graphicFrame>
      </mc:Choice>
      <mc:Fallback xmlns="">
        <xdr:sp macro="" textlink="">
          <xdr:nvSpPr>
            <xdr:cNvPr id="0" name=""/>
            <xdr:cNvSpPr>
              <a:spLocks noTextEdit="1"/>
            </xdr:cNvSpPr>
          </xdr:nvSpPr>
          <xdr:spPr>
            <a:xfrm>
              <a:off x="8755380" y="1699261"/>
              <a:ext cx="1828800" cy="1706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358140</xdr:colOff>
      <xdr:row>1</xdr:row>
      <xdr:rowOff>114301</xdr:rowOff>
    </xdr:from>
    <xdr:to>
      <xdr:col>9</xdr:col>
      <xdr:colOff>358140</xdr:colOff>
      <xdr:row>8</xdr:row>
      <xdr:rowOff>91441</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8B3720BF-E9C0-5AE5-A215-C2A07F4E07B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763000" y="297181"/>
              <a:ext cx="1828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38100</xdr:colOff>
      <xdr:row>22</xdr:row>
      <xdr:rowOff>160020</xdr:rowOff>
    </xdr:from>
    <xdr:to>
      <xdr:col>3</xdr:col>
      <xdr:colOff>861060</xdr:colOff>
      <xdr:row>37</xdr:row>
      <xdr:rowOff>160020</xdr:rowOff>
    </xdr:to>
    <xdr:graphicFrame macro="">
      <xdr:nvGraphicFramePr>
        <xdr:cNvPr id="7" name="Chart 6">
          <a:extLst>
            <a:ext uri="{FF2B5EF4-FFF2-40B4-BE49-F238E27FC236}">
              <a16:creationId xmlns:a16="http://schemas.microsoft.com/office/drawing/2014/main" id="{92A04B97-A907-1358-4566-D1A0FD5A5E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99060</xdr:colOff>
      <xdr:row>0</xdr:row>
      <xdr:rowOff>83820</xdr:rowOff>
    </xdr:from>
    <xdr:to>
      <xdr:col>17</xdr:col>
      <xdr:colOff>342900</xdr:colOff>
      <xdr:row>3</xdr:row>
      <xdr:rowOff>144780</xdr:rowOff>
    </xdr:to>
    <xdr:sp macro="" textlink="">
      <xdr:nvSpPr>
        <xdr:cNvPr id="2" name="Rectangle 1">
          <a:extLst>
            <a:ext uri="{FF2B5EF4-FFF2-40B4-BE49-F238E27FC236}">
              <a16:creationId xmlns:a16="http://schemas.microsoft.com/office/drawing/2014/main" id="{ACDA5191-F8CF-8E05-C2AB-1A582651816B}"/>
            </a:ext>
          </a:extLst>
        </xdr:cNvPr>
        <xdr:cNvSpPr/>
      </xdr:nvSpPr>
      <xdr:spPr>
        <a:xfrm>
          <a:off x="99060" y="83820"/>
          <a:ext cx="10607040" cy="754380"/>
        </a:xfrm>
        <a:prstGeom prst="rect">
          <a:avLst/>
        </a:prstGeom>
        <a:noFill/>
        <a:ln w="12700">
          <a:noFill/>
        </a:ln>
        <a:effectLst>
          <a:outerShdw blurRad="190500" dist="228600" dir="2700000" algn="ctr">
            <a:srgbClr val="000000">
              <a:alpha val="30000"/>
            </a:srgbClr>
          </a:outerShdw>
        </a:effectLst>
        <a:extLst>
          <a:ext uri="{53640926-AAD7-44D8-BBD7-CCE9431645EC}">
            <a14:shadowObscured xmlns:a14="http://schemas.microsoft.com/office/drawing/2010/main" val="1"/>
          </a:ext>
        </a:extLst>
      </xdr:spPr>
      <xdr:txBody>
        <a:bodyPr vertOverflow="clip" horzOverflow="clip" wrap="square"/>
        <a:lstStyle/>
        <a:p>
          <a:endParaRPr lang="en-IN" sz="1100">
            <a:ln>
              <a:solidFill>
                <a:schemeClr val="bg1"/>
              </a:solidFill>
            </a:ln>
            <a:solidFill>
              <a:schemeClr val="bg1"/>
            </a:solidFill>
          </a:endParaRPr>
        </a:p>
      </xdr:txBody>
    </xdr:sp>
    <xdr:clientData/>
  </xdr:twoCellAnchor>
  <xdr:twoCellAnchor editAs="oneCell">
    <xdr:from>
      <xdr:col>17</xdr:col>
      <xdr:colOff>434340</xdr:colOff>
      <xdr:row>0</xdr:row>
      <xdr:rowOff>76200</xdr:rowOff>
    </xdr:from>
    <xdr:to>
      <xdr:col>20</xdr:col>
      <xdr:colOff>434340</xdr:colOff>
      <xdr:row>6</xdr:row>
      <xdr:rowOff>91440</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13CC0B09-2914-4CEE-B72A-9E243E03C80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726559" y="76200"/>
              <a:ext cx="1816274" cy="12782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426720</xdr:colOff>
      <xdr:row>6</xdr:row>
      <xdr:rowOff>137160</xdr:rowOff>
    </xdr:from>
    <xdr:to>
      <xdr:col>20</xdr:col>
      <xdr:colOff>426720</xdr:colOff>
      <xdr:row>16</xdr:row>
      <xdr:rowOff>15240</xdr:rowOff>
    </xdr:to>
    <mc:AlternateContent xmlns:mc="http://schemas.openxmlformats.org/markup-compatibility/2006" xmlns:a14="http://schemas.microsoft.com/office/drawing/2010/main">
      <mc:Choice Requires="a14">
        <xdr:graphicFrame macro="">
          <xdr:nvGraphicFramePr>
            <xdr:cNvPr id="4" name="Doctor Name 1">
              <a:extLst>
                <a:ext uri="{FF2B5EF4-FFF2-40B4-BE49-F238E27FC236}">
                  <a16:creationId xmlns:a16="http://schemas.microsoft.com/office/drawing/2014/main" id="{BF4BD10E-2B71-435A-AD30-57FFD3164C71}"/>
                </a:ext>
              </a:extLst>
            </xdr:cNvPr>
            <xdr:cNvGraphicFramePr/>
          </xdr:nvGraphicFramePr>
          <xdr:xfrm>
            <a:off x="0" y="0"/>
            <a:ext cx="0" cy="0"/>
          </xdr:xfrm>
          <a:graphic>
            <a:graphicData uri="http://schemas.microsoft.com/office/drawing/2010/slicer">
              <sle:slicer xmlns:sle="http://schemas.microsoft.com/office/drawing/2010/slicer" name="Doctor Name 1"/>
            </a:graphicData>
          </a:graphic>
        </xdr:graphicFrame>
      </mc:Choice>
      <mc:Fallback xmlns="">
        <xdr:sp macro="" textlink="">
          <xdr:nvSpPr>
            <xdr:cNvPr id="0" name=""/>
            <xdr:cNvSpPr>
              <a:spLocks noTextEdit="1"/>
            </xdr:cNvSpPr>
          </xdr:nvSpPr>
          <xdr:spPr>
            <a:xfrm>
              <a:off x="10718939" y="1400201"/>
              <a:ext cx="1816274" cy="17569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434340</xdr:colOff>
      <xdr:row>24</xdr:row>
      <xdr:rowOff>167640</xdr:rowOff>
    </xdr:from>
    <xdr:to>
      <xdr:col>20</xdr:col>
      <xdr:colOff>434340</xdr:colOff>
      <xdr:row>36</xdr:row>
      <xdr:rowOff>30480</xdr:rowOff>
    </xdr:to>
    <mc:AlternateContent xmlns:mc="http://schemas.openxmlformats.org/markup-compatibility/2006" xmlns:a14="http://schemas.microsoft.com/office/drawing/2010/main">
      <mc:Choice Requires="a14">
        <xdr:graphicFrame macro="">
          <xdr:nvGraphicFramePr>
            <xdr:cNvPr id="5" name="Department 1">
              <a:extLst>
                <a:ext uri="{FF2B5EF4-FFF2-40B4-BE49-F238E27FC236}">
                  <a16:creationId xmlns:a16="http://schemas.microsoft.com/office/drawing/2014/main" id="{14C9F6FB-1D51-4A3C-B29B-D7EC614892BC}"/>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0726559" y="4812708"/>
              <a:ext cx="1816274" cy="2117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426720</xdr:colOff>
      <xdr:row>16</xdr:row>
      <xdr:rowOff>60960</xdr:rowOff>
    </xdr:from>
    <xdr:to>
      <xdr:col>20</xdr:col>
      <xdr:colOff>426720</xdr:colOff>
      <xdr:row>24</xdr:row>
      <xdr:rowOff>114300</xdr:rowOff>
    </xdr:to>
    <mc:AlternateContent xmlns:mc="http://schemas.openxmlformats.org/markup-compatibility/2006" xmlns:a14="http://schemas.microsoft.com/office/drawing/2010/main">
      <mc:Choice Requires="a14">
        <xdr:graphicFrame macro="">
          <xdr:nvGraphicFramePr>
            <xdr:cNvPr id="6" name="Treatment Type 1">
              <a:extLst>
                <a:ext uri="{FF2B5EF4-FFF2-40B4-BE49-F238E27FC236}">
                  <a16:creationId xmlns:a16="http://schemas.microsoft.com/office/drawing/2014/main" id="{A4F010FB-BA39-45DB-B7EA-65B5D90067EC}"/>
                </a:ext>
              </a:extLst>
            </xdr:cNvPr>
            <xdr:cNvGraphicFramePr/>
          </xdr:nvGraphicFramePr>
          <xdr:xfrm>
            <a:off x="0" y="0"/>
            <a:ext cx="0" cy="0"/>
          </xdr:xfrm>
          <a:graphic>
            <a:graphicData uri="http://schemas.microsoft.com/office/drawing/2010/slicer">
              <sle:slicer xmlns:sle="http://schemas.microsoft.com/office/drawing/2010/slicer" name="Treatment Type 1"/>
            </a:graphicData>
          </a:graphic>
        </xdr:graphicFrame>
      </mc:Choice>
      <mc:Fallback xmlns="">
        <xdr:sp macro="" textlink="">
          <xdr:nvSpPr>
            <xdr:cNvPr id="0" name=""/>
            <xdr:cNvSpPr>
              <a:spLocks noTextEdit="1"/>
            </xdr:cNvSpPr>
          </xdr:nvSpPr>
          <xdr:spPr>
            <a:xfrm>
              <a:off x="10718939" y="3202905"/>
              <a:ext cx="1816274" cy="15564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213360</xdr:colOff>
      <xdr:row>4</xdr:row>
      <xdr:rowOff>121920</xdr:rowOff>
    </xdr:from>
    <xdr:to>
      <xdr:col>3</xdr:col>
      <xdr:colOff>182880</xdr:colOff>
      <xdr:row>8</xdr:row>
      <xdr:rowOff>76200</xdr:rowOff>
    </xdr:to>
    <xdr:sp macro="" textlink="">
      <xdr:nvSpPr>
        <xdr:cNvPr id="7" name="Rectangle 6">
          <a:extLst>
            <a:ext uri="{FF2B5EF4-FFF2-40B4-BE49-F238E27FC236}">
              <a16:creationId xmlns:a16="http://schemas.microsoft.com/office/drawing/2014/main" id="{B491D20E-ABA9-EDD6-B9E3-4F3369AED396}"/>
            </a:ext>
          </a:extLst>
        </xdr:cNvPr>
        <xdr:cNvSpPr/>
      </xdr:nvSpPr>
      <xdr:spPr>
        <a:xfrm>
          <a:off x="213360" y="998220"/>
          <a:ext cx="1798320" cy="685800"/>
        </a:xfrm>
        <a:prstGeom prst="rect">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2">
                  <a:lumMod val="90000"/>
                  <a:lumOff val="10000"/>
                </a:schemeClr>
              </a:solidFill>
            </a:rPr>
            <a:t>           Patients</a:t>
          </a:r>
          <a:r>
            <a:rPr lang="en-IN" sz="1200" b="1" baseline="0">
              <a:solidFill>
                <a:schemeClr val="tx2">
                  <a:lumMod val="90000"/>
                  <a:lumOff val="10000"/>
                </a:schemeClr>
              </a:solidFill>
            </a:rPr>
            <a:t> Count</a:t>
          </a:r>
          <a:endParaRPr lang="en-IN" sz="1200" b="1">
            <a:solidFill>
              <a:schemeClr val="tx2">
                <a:lumMod val="90000"/>
                <a:lumOff val="10000"/>
              </a:schemeClr>
            </a:solidFill>
          </a:endParaRPr>
        </a:p>
      </xdr:txBody>
    </xdr:sp>
    <xdr:clientData/>
  </xdr:twoCellAnchor>
  <xdr:twoCellAnchor>
    <xdr:from>
      <xdr:col>11</xdr:col>
      <xdr:colOff>167640</xdr:colOff>
      <xdr:row>4</xdr:row>
      <xdr:rowOff>137160</xdr:rowOff>
    </xdr:from>
    <xdr:to>
      <xdr:col>14</xdr:col>
      <xdr:colOff>129540</xdr:colOff>
      <xdr:row>8</xdr:row>
      <xdr:rowOff>121920</xdr:rowOff>
    </xdr:to>
    <xdr:sp macro="" textlink="">
      <xdr:nvSpPr>
        <xdr:cNvPr id="8" name="Rectangle 7">
          <a:extLst>
            <a:ext uri="{FF2B5EF4-FFF2-40B4-BE49-F238E27FC236}">
              <a16:creationId xmlns:a16="http://schemas.microsoft.com/office/drawing/2014/main" id="{6449E177-BD11-4470-B66B-8BCECA76F364}"/>
            </a:ext>
          </a:extLst>
        </xdr:cNvPr>
        <xdr:cNvSpPr/>
      </xdr:nvSpPr>
      <xdr:spPr>
        <a:xfrm>
          <a:off x="6873240" y="1013460"/>
          <a:ext cx="1790700" cy="716280"/>
        </a:xfrm>
        <a:prstGeom prst="rect">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2"/>
              </a:solidFill>
            </a:rPr>
            <a:t>        Avg Stay  (Days)</a:t>
          </a:r>
        </a:p>
      </xdr:txBody>
    </xdr:sp>
    <xdr:clientData/>
  </xdr:twoCellAnchor>
  <xdr:twoCellAnchor>
    <xdr:from>
      <xdr:col>7</xdr:col>
      <xdr:colOff>411480</xdr:colOff>
      <xdr:row>4</xdr:row>
      <xdr:rowOff>129540</xdr:rowOff>
    </xdr:from>
    <xdr:to>
      <xdr:col>10</xdr:col>
      <xdr:colOff>487680</xdr:colOff>
      <xdr:row>8</xdr:row>
      <xdr:rowOff>129540</xdr:rowOff>
    </xdr:to>
    <xdr:sp macro="" textlink="">
      <xdr:nvSpPr>
        <xdr:cNvPr id="9" name="Rectangle 8">
          <a:extLst>
            <a:ext uri="{FF2B5EF4-FFF2-40B4-BE49-F238E27FC236}">
              <a16:creationId xmlns:a16="http://schemas.microsoft.com/office/drawing/2014/main" id="{94712963-59CD-4DA9-82AA-A889187BCB9F}"/>
            </a:ext>
          </a:extLst>
        </xdr:cNvPr>
        <xdr:cNvSpPr/>
      </xdr:nvSpPr>
      <xdr:spPr>
        <a:xfrm>
          <a:off x="4678680" y="1005840"/>
          <a:ext cx="1905000" cy="731520"/>
        </a:xfrm>
        <a:prstGeom prst="rect">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2"/>
              </a:solidFill>
            </a:rPr>
            <a:t>                Average Age</a:t>
          </a:r>
        </a:p>
      </xdr:txBody>
    </xdr:sp>
    <xdr:clientData/>
  </xdr:twoCellAnchor>
  <xdr:twoCellAnchor>
    <xdr:from>
      <xdr:col>3</xdr:col>
      <xdr:colOff>548640</xdr:colOff>
      <xdr:row>4</xdr:row>
      <xdr:rowOff>121920</xdr:rowOff>
    </xdr:from>
    <xdr:to>
      <xdr:col>7</xdr:col>
      <xdr:colOff>60960</xdr:colOff>
      <xdr:row>8</xdr:row>
      <xdr:rowOff>76200</xdr:rowOff>
    </xdr:to>
    <xdr:sp macro="" textlink="">
      <xdr:nvSpPr>
        <xdr:cNvPr id="10" name="Rectangle 9">
          <a:extLst>
            <a:ext uri="{FF2B5EF4-FFF2-40B4-BE49-F238E27FC236}">
              <a16:creationId xmlns:a16="http://schemas.microsoft.com/office/drawing/2014/main" id="{09605CB0-C235-47D7-9012-AAFB39C4E7BD}"/>
            </a:ext>
          </a:extLst>
        </xdr:cNvPr>
        <xdr:cNvSpPr/>
      </xdr:nvSpPr>
      <xdr:spPr>
        <a:xfrm>
          <a:off x="2377440" y="998220"/>
          <a:ext cx="1950720" cy="685800"/>
        </a:xfrm>
        <a:prstGeom prst="rect">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2">
                  <a:lumMod val="90000"/>
                  <a:lumOff val="10000"/>
                </a:schemeClr>
              </a:solidFill>
            </a:rPr>
            <a:t>           Avg Treatment</a:t>
          </a:r>
          <a:r>
            <a:rPr lang="en-IN" sz="1200" b="1" baseline="0">
              <a:solidFill>
                <a:schemeClr val="tx2">
                  <a:lumMod val="90000"/>
                  <a:lumOff val="10000"/>
                </a:schemeClr>
              </a:solidFill>
            </a:rPr>
            <a:t> </a:t>
          </a:r>
          <a:r>
            <a:rPr lang="en-IN" sz="1200" b="1">
              <a:solidFill>
                <a:schemeClr val="tx2">
                  <a:lumMod val="90000"/>
                  <a:lumOff val="10000"/>
                </a:schemeClr>
              </a:solidFill>
            </a:rPr>
            <a:t>Cost</a:t>
          </a:r>
        </a:p>
      </xdr:txBody>
    </xdr:sp>
    <xdr:clientData/>
  </xdr:twoCellAnchor>
  <xdr:twoCellAnchor>
    <xdr:from>
      <xdr:col>8</xdr:col>
      <xdr:colOff>358140</xdr:colOff>
      <xdr:row>6</xdr:row>
      <xdr:rowOff>76200</xdr:rowOff>
    </xdr:from>
    <xdr:to>
      <xdr:col>9</xdr:col>
      <xdr:colOff>472440</xdr:colOff>
      <xdr:row>7</xdr:row>
      <xdr:rowOff>175260</xdr:rowOff>
    </xdr:to>
    <xdr:sp macro="" textlink="pivot_table!D8">
      <xdr:nvSpPr>
        <xdr:cNvPr id="12" name="TextBox 11">
          <a:extLst>
            <a:ext uri="{FF2B5EF4-FFF2-40B4-BE49-F238E27FC236}">
              <a16:creationId xmlns:a16="http://schemas.microsoft.com/office/drawing/2014/main" id="{82A28036-ACB2-D635-10B3-04D276A62510}"/>
            </a:ext>
          </a:extLst>
        </xdr:cNvPr>
        <xdr:cNvSpPr txBox="1"/>
      </xdr:nvSpPr>
      <xdr:spPr>
        <a:xfrm>
          <a:off x="5234940" y="1318260"/>
          <a:ext cx="723900" cy="281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48B913C-B347-4505-8247-7DDEF9A409E6}" type="TxLink">
            <a:rPr lang="en-US" sz="1100" b="0" i="0" u="none" strike="noStrike">
              <a:solidFill>
                <a:srgbClr val="000000"/>
              </a:solidFill>
              <a:latin typeface="Aptos Narrow"/>
            </a:rPr>
            <a:pPr/>
            <a:t>41.71</a:t>
          </a:fld>
          <a:endParaRPr lang="en-IN" sz="1100" b="1">
            <a:solidFill>
              <a:schemeClr val="accent3">
                <a:lumMod val="50000"/>
              </a:schemeClr>
            </a:solidFill>
          </a:endParaRPr>
        </a:p>
      </xdr:txBody>
    </xdr:sp>
    <xdr:clientData/>
  </xdr:twoCellAnchor>
  <xdr:oneCellAnchor>
    <xdr:from>
      <xdr:col>3</xdr:col>
      <xdr:colOff>198120</xdr:colOff>
      <xdr:row>11</xdr:row>
      <xdr:rowOff>76200</xdr:rowOff>
    </xdr:from>
    <xdr:ext cx="184731" cy="264560"/>
    <xdr:sp macro="" textlink="">
      <xdr:nvSpPr>
        <xdr:cNvPr id="13" name="TextBox 12">
          <a:extLst>
            <a:ext uri="{FF2B5EF4-FFF2-40B4-BE49-F238E27FC236}">
              <a16:creationId xmlns:a16="http://schemas.microsoft.com/office/drawing/2014/main" id="{1E18AA20-21F1-614B-6AB4-607066EA5D8E}"/>
            </a:ext>
          </a:extLst>
        </xdr:cNvPr>
        <xdr:cNvSpPr txBox="1"/>
      </xdr:nvSpPr>
      <xdr:spPr>
        <a:xfrm>
          <a:off x="2026920" y="22326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xdr:col>
      <xdr:colOff>327660</xdr:colOff>
      <xdr:row>14</xdr:row>
      <xdr:rowOff>91440</xdr:rowOff>
    </xdr:from>
    <xdr:ext cx="184731" cy="264560"/>
    <xdr:sp macro="" textlink="">
      <xdr:nvSpPr>
        <xdr:cNvPr id="14" name="TextBox 13">
          <a:extLst>
            <a:ext uri="{FF2B5EF4-FFF2-40B4-BE49-F238E27FC236}">
              <a16:creationId xmlns:a16="http://schemas.microsoft.com/office/drawing/2014/main" id="{E889A47B-94F9-003B-57C2-23CD1E7C4472}"/>
            </a:ext>
          </a:extLst>
        </xdr:cNvPr>
        <xdr:cNvSpPr txBox="1"/>
      </xdr:nvSpPr>
      <xdr:spPr>
        <a:xfrm>
          <a:off x="937260" y="2796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14</xdr:col>
      <xdr:colOff>281940</xdr:colOff>
      <xdr:row>4</xdr:row>
      <xdr:rowOff>137160</xdr:rowOff>
    </xdr:from>
    <xdr:to>
      <xdr:col>17</xdr:col>
      <xdr:colOff>205740</xdr:colOff>
      <xdr:row>8</xdr:row>
      <xdr:rowOff>91440</xdr:rowOff>
    </xdr:to>
    <xdr:sp macro="" textlink="">
      <xdr:nvSpPr>
        <xdr:cNvPr id="15" name="Rectangle 14">
          <a:extLst>
            <a:ext uri="{FF2B5EF4-FFF2-40B4-BE49-F238E27FC236}">
              <a16:creationId xmlns:a16="http://schemas.microsoft.com/office/drawing/2014/main" id="{16E5D1A2-79C5-4876-ACE1-F673614B6C5A}"/>
            </a:ext>
          </a:extLst>
        </xdr:cNvPr>
        <xdr:cNvSpPr/>
      </xdr:nvSpPr>
      <xdr:spPr>
        <a:xfrm>
          <a:off x="8816340" y="1013460"/>
          <a:ext cx="1752600" cy="685800"/>
        </a:xfrm>
        <a:prstGeom prst="rect">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2"/>
              </a:solidFill>
            </a:rPr>
            <a:t>        Avg Recovery Score</a:t>
          </a:r>
        </a:p>
      </xdr:txBody>
    </xdr:sp>
    <xdr:clientData/>
  </xdr:twoCellAnchor>
  <xdr:twoCellAnchor>
    <xdr:from>
      <xdr:col>1</xdr:col>
      <xdr:colOff>175260</xdr:colOff>
      <xdr:row>6</xdr:row>
      <xdr:rowOff>68580</xdr:rowOff>
    </xdr:from>
    <xdr:to>
      <xdr:col>2</xdr:col>
      <xdr:colOff>68580</xdr:colOff>
      <xdr:row>7</xdr:row>
      <xdr:rowOff>175260</xdr:rowOff>
    </xdr:to>
    <xdr:sp macro="" textlink="pivot_table!A8">
      <xdr:nvSpPr>
        <xdr:cNvPr id="16" name="TextBox 15">
          <a:extLst>
            <a:ext uri="{FF2B5EF4-FFF2-40B4-BE49-F238E27FC236}">
              <a16:creationId xmlns:a16="http://schemas.microsoft.com/office/drawing/2014/main" id="{1847BB7F-5A16-56FA-8B63-8F3D6E30E8B8}"/>
            </a:ext>
          </a:extLst>
        </xdr:cNvPr>
        <xdr:cNvSpPr txBox="1"/>
      </xdr:nvSpPr>
      <xdr:spPr>
        <a:xfrm>
          <a:off x="784860" y="1310640"/>
          <a:ext cx="502920" cy="289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8531E0B-740D-4393-81D0-159E76DAA1DA}" type="TxLink">
            <a:rPr lang="en-US" sz="1100" b="0" i="0" u="none" strike="noStrike">
              <a:solidFill>
                <a:srgbClr val="000000"/>
              </a:solidFill>
              <a:latin typeface="Aptos Narrow"/>
            </a:rPr>
            <a:pPr/>
            <a:t>200</a:t>
          </a:fld>
          <a:endParaRPr lang="en-IN" sz="1200" b="1">
            <a:solidFill>
              <a:schemeClr val="accent3">
                <a:lumMod val="50000"/>
              </a:schemeClr>
            </a:solidFill>
          </a:endParaRPr>
        </a:p>
      </xdr:txBody>
    </xdr:sp>
    <xdr:clientData/>
  </xdr:twoCellAnchor>
  <xdr:twoCellAnchor>
    <xdr:from>
      <xdr:col>4</xdr:col>
      <xdr:colOff>441960</xdr:colOff>
      <xdr:row>6</xdr:row>
      <xdr:rowOff>53340</xdr:rowOff>
    </xdr:from>
    <xdr:to>
      <xdr:col>5</xdr:col>
      <xdr:colOff>556260</xdr:colOff>
      <xdr:row>8</xdr:row>
      <xdr:rowOff>0</xdr:rowOff>
    </xdr:to>
    <xdr:sp macro="" textlink="pivot_table!C8">
      <xdr:nvSpPr>
        <xdr:cNvPr id="20" name="TextBox 19">
          <a:extLst>
            <a:ext uri="{FF2B5EF4-FFF2-40B4-BE49-F238E27FC236}">
              <a16:creationId xmlns:a16="http://schemas.microsoft.com/office/drawing/2014/main" id="{12AB281E-B91B-AF7A-F48B-87EE49A48E9D}"/>
            </a:ext>
          </a:extLst>
        </xdr:cNvPr>
        <xdr:cNvSpPr txBox="1"/>
      </xdr:nvSpPr>
      <xdr:spPr>
        <a:xfrm>
          <a:off x="2880360" y="1295400"/>
          <a:ext cx="723900" cy="312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8556D2-7159-4C41-9F8E-FE9C86F21F4F}" type="TxLink">
            <a:rPr lang="en-US" sz="1100" b="0" i="0" u="none" strike="noStrike">
              <a:solidFill>
                <a:srgbClr val="000000"/>
              </a:solidFill>
              <a:effectLst/>
              <a:latin typeface="Aptos Narrow"/>
            </a:rPr>
            <a:pPr/>
            <a:t>79698.51</a:t>
          </a:fld>
          <a:endParaRPr lang="en-IN" sz="1200">
            <a:solidFill>
              <a:schemeClr val="accent3">
                <a:lumMod val="50000"/>
              </a:schemeClr>
            </a:solidFill>
            <a:effectLst/>
          </a:endParaRPr>
        </a:p>
      </xdr:txBody>
    </xdr:sp>
    <xdr:clientData/>
  </xdr:twoCellAnchor>
  <xdr:twoCellAnchor>
    <xdr:from>
      <xdr:col>3</xdr:col>
      <xdr:colOff>472440</xdr:colOff>
      <xdr:row>12</xdr:row>
      <xdr:rowOff>0</xdr:rowOff>
    </xdr:from>
    <xdr:to>
      <xdr:col>3</xdr:col>
      <xdr:colOff>518159</xdr:colOff>
      <xdr:row>12</xdr:row>
      <xdr:rowOff>45719</xdr:rowOff>
    </xdr:to>
    <xdr:sp macro="" textlink="">
      <xdr:nvSpPr>
        <xdr:cNvPr id="24" name="TextBox 23">
          <a:extLst>
            <a:ext uri="{FF2B5EF4-FFF2-40B4-BE49-F238E27FC236}">
              <a16:creationId xmlns:a16="http://schemas.microsoft.com/office/drawing/2014/main" id="{60C10213-B6A1-2281-A434-6B5B22B237F1}"/>
            </a:ext>
          </a:extLst>
        </xdr:cNvPr>
        <xdr:cNvSpPr txBox="1"/>
      </xdr:nvSpPr>
      <xdr:spPr>
        <a:xfrm>
          <a:off x="2301240" y="2339340"/>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6</xdr:col>
      <xdr:colOff>15239</xdr:colOff>
      <xdr:row>8</xdr:row>
      <xdr:rowOff>81680</xdr:rowOff>
    </xdr:from>
    <xdr:ext cx="641931" cy="1114660"/>
    <xdr:sp macro="" textlink="">
      <xdr:nvSpPr>
        <xdr:cNvPr id="25" name="TextBox 24">
          <a:extLst>
            <a:ext uri="{FF2B5EF4-FFF2-40B4-BE49-F238E27FC236}">
              <a16:creationId xmlns:a16="http://schemas.microsoft.com/office/drawing/2014/main" id="{2CD5789A-412B-01C0-21BE-0B41EB374684}"/>
            </a:ext>
          </a:extLst>
        </xdr:cNvPr>
        <xdr:cNvSpPr txBox="1"/>
      </xdr:nvSpPr>
      <xdr:spPr>
        <a:xfrm flipV="1">
          <a:off x="3672839" y="1689500"/>
          <a:ext cx="641931" cy="11146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0</xdr:col>
      <xdr:colOff>121920</xdr:colOff>
      <xdr:row>9</xdr:row>
      <xdr:rowOff>53340</xdr:rowOff>
    </xdr:from>
    <xdr:to>
      <xdr:col>7</xdr:col>
      <xdr:colOff>45720</xdr:colOff>
      <xdr:row>23</xdr:row>
      <xdr:rowOff>91440</xdr:rowOff>
    </xdr:to>
    <xdr:graphicFrame macro="">
      <xdr:nvGraphicFramePr>
        <xdr:cNvPr id="28" name="Chart 27">
          <a:extLst>
            <a:ext uri="{FF2B5EF4-FFF2-40B4-BE49-F238E27FC236}">
              <a16:creationId xmlns:a16="http://schemas.microsoft.com/office/drawing/2014/main" id="{AACDE35A-A573-4E8A-B54D-635547EFF5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228600</xdr:colOff>
      <xdr:row>9</xdr:row>
      <xdr:rowOff>53340</xdr:rowOff>
    </xdr:from>
    <xdr:to>
      <xdr:col>13</xdr:col>
      <xdr:colOff>518160</xdr:colOff>
      <xdr:row>22</xdr:row>
      <xdr:rowOff>167640</xdr:rowOff>
    </xdr:to>
    <xdr:graphicFrame macro="">
      <xdr:nvGraphicFramePr>
        <xdr:cNvPr id="30" name="Chart 29">
          <a:extLst>
            <a:ext uri="{FF2B5EF4-FFF2-40B4-BE49-F238E27FC236}">
              <a16:creationId xmlns:a16="http://schemas.microsoft.com/office/drawing/2014/main" id="{10EE06C5-BF92-4ADC-A0B5-BEDBD4640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137160</xdr:colOff>
      <xdr:row>6</xdr:row>
      <xdr:rowOff>76200</xdr:rowOff>
    </xdr:from>
    <xdr:to>
      <xdr:col>13</xdr:col>
      <xdr:colOff>160020</xdr:colOff>
      <xdr:row>7</xdr:row>
      <xdr:rowOff>175260</xdr:rowOff>
    </xdr:to>
    <xdr:sp macro="" textlink="pivot_table!E8">
      <xdr:nvSpPr>
        <xdr:cNvPr id="37" name="TextBox 36">
          <a:extLst>
            <a:ext uri="{FF2B5EF4-FFF2-40B4-BE49-F238E27FC236}">
              <a16:creationId xmlns:a16="http://schemas.microsoft.com/office/drawing/2014/main" id="{962F0F83-66A4-EFB9-FFB3-365A5E19CCEA}"/>
            </a:ext>
          </a:extLst>
        </xdr:cNvPr>
        <xdr:cNvSpPr txBox="1"/>
      </xdr:nvSpPr>
      <xdr:spPr>
        <a:xfrm>
          <a:off x="7452360" y="1318260"/>
          <a:ext cx="632460" cy="281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F0B031D-E2B0-43DC-A2A4-FEAC1429B397}" type="TxLink">
            <a:rPr lang="en-US" sz="1100" b="0" i="0" u="none" strike="noStrike">
              <a:solidFill>
                <a:srgbClr val="000000"/>
              </a:solidFill>
              <a:latin typeface="Aptos Narrow"/>
            </a:rPr>
            <a:pPr/>
            <a:t>16.015</a:t>
          </a:fld>
          <a:endParaRPr lang="en-IN" sz="1100"/>
        </a:p>
      </xdr:txBody>
    </xdr:sp>
    <xdr:clientData/>
  </xdr:twoCellAnchor>
  <xdr:twoCellAnchor>
    <xdr:from>
      <xdr:col>15</xdr:col>
      <xdr:colOff>320040</xdr:colOff>
      <xdr:row>6</xdr:row>
      <xdr:rowOff>45720</xdr:rowOff>
    </xdr:from>
    <xdr:to>
      <xdr:col>16</xdr:col>
      <xdr:colOff>342900</xdr:colOff>
      <xdr:row>7</xdr:row>
      <xdr:rowOff>144780</xdr:rowOff>
    </xdr:to>
    <xdr:sp macro="" textlink="pivot_table!F8">
      <xdr:nvSpPr>
        <xdr:cNvPr id="38" name="TextBox 37">
          <a:extLst>
            <a:ext uri="{FF2B5EF4-FFF2-40B4-BE49-F238E27FC236}">
              <a16:creationId xmlns:a16="http://schemas.microsoft.com/office/drawing/2014/main" id="{7C6C9460-7A6D-4781-B3E7-0D1DCFC7FD8A}"/>
            </a:ext>
          </a:extLst>
        </xdr:cNvPr>
        <xdr:cNvSpPr txBox="1"/>
      </xdr:nvSpPr>
      <xdr:spPr>
        <a:xfrm>
          <a:off x="9464040" y="1287780"/>
          <a:ext cx="632460" cy="281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E2C575-D1AE-40F1-91F3-84A558FBA8A3}" type="TxLink">
            <a:rPr lang="en-US" sz="1100" b="0" i="0" u="none" strike="noStrike">
              <a:solidFill>
                <a:srgbClr val="000000"/>
              </a:solidFill>
              <a:latin typeface="Aptos Narrow"/>
            </a:rPr>
            <a:pPr/>
            <a:t>70.375</a:t>
          </a:fld>
          <a:endParaRPr lang="en-IN" sz="1100"/>
        </a:p>
      </xdr:txBody>
    </xdr:sp>
    <xdr:clientData/>
  </xdr:twoCellAnchor>
  <xdr:twoCellAnchor>
    <xdr:from>
      <xdr:col>0</xdr:col>
      <xdr:colOff>106680</xdr:colOff>
      <xdr:row>24</xdr:row>
      <xdr:rowOff>129540</xdr:rowOff>
    </xdr:from>
    <xdr:to>
      <xdr:col>5</xdr:col>
      <xdr:colOff>297180</xdr:colOff>
      <xdr:row>35</xdr:row>
      <xdr:rowOff>121920</xdr:rowOff>
    </xdr:to>
    <mc:AlternateContent xmlns:mc="http://schemas.openxmlformats.org/markup-compatibility/2006">
      <mc:Choice xmlns:cx2="http://schemas.microsoft.com/office/drawing/2015/10/21/chartex" Requires="cx2">
        <xdr:graphicFrame macro="">
          <xdr:nvGraphicFramePr>
            <xdr:cNvPr id="47" name="Chart 46">
              <a:extLst>
                <a:ext uri="{FF2B5EF4-FFF2-40B4-BE49-F238E27FC236}">
                  <a16:creationId xmlns:a16="http://schemas.microsoft.com/office/drawing/2014/main" id="{848341A2-5179-4029-A8AB-90A636C3C05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6680" y="4663440"/>
              <a:ext cx="3238500" cy="20040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457200</xdr:colOff>
      <xdr:row>24</xdr:row>
      <xdr:rowOff>121920</xdr:rowOff>
    </xdr:from>
    <xdr:to>
      <xdr:col>10</xdr:col>
      <xdr:colOff>45720</xdr:colOff>
      <xdr:row>34</xdr:row>
      <xdr:rowOff>60960</xdr:rowOff>
    </xdr:to>
    <xdr:graphicFrame macro="">
      <xdr:nvGraphicFramePr>
        <xdr:cNvPr id="48" name="Chart 47">
          <a:extLst>
            <a:ext uri="{FF2B5EF4-FFF2-40B4-BE49-F238E27FC236}">
              <a16:creationId xmlns:a16="http://schemas.microsoft.com/office/drawing/2014/main" id="{CFCA0F45-BE95-4FEB-8F94-54115A3742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594360</xdr:colOff>
      <xdr:row>9</xdr:row>
      <xdr:rowOff>76200</xdr:rowOff>
    </xdr:from>
    <xdr:to>
      <xdr:col>17</xdr:col>
      <xdr:colOff>297180</xdr:colOff>
      <xdr:row>22</xdr:row>
      <xdr:rowOff>45720</xdr:rowOff>
    </xdr:to>
    <xdr:graphicFrame macro="">
      <xdr:nvGraphicFramePr>
        <xdr:cNvPr id="49" name="Chart 48">
          <a:extLst>
            <a:ext uri="{FF2B5EF4-FFF2-40B4-BE49-F238E27FC236}">
              <a16:creationId xmlns:a16="http://schemas.microsoft.com/office/drawing/2014/main" id="{31FE8C3A-56C1-44CA-9D97-1912CA03E1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213360</xdr:colOff>
      <xdr:row>23</xdr:row>
      <xdr:rowOff>152400</xdr:rowOff>
    </xdr:from>
    <xdr:to>
      <xdr:col>17</xdr:col>
      <xdr:colOff>320040</xdr:colOff>
      <xdr:row>37</xdr:row>
      <xdr:rowOff>91440</xdr:rowOff>
    </xdr:to>
    <mc:AlternateContent xmlns:mc="http://schemas.openxmlformats.org/markup-compatibility/2006">
      <mc:Choice xmlns:cx1="http://schemas.microsoft.com/office/drawing/2015/9/8/chartex" Requires="cx1">
        <xdr:graphicFrame macro="">
          <xdr:nvGraphicFramePr>
            <xdr:cNvPr id="50" name="Chart 49">
              <a:extLst>
                <a:ext uri="{FF2B5EF4-FFF2-40B4-BE49-F238E27FC236}">
                  <a16:creationId xmlns:a16="http://schemas.microsoft.com/office/drawing/2014/main" id="{FFB12CF2-7576-4410-89EE-9439BF6C9BF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309360" y="4503420"/>
              <a:ext cx="4373880" cy="24993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731520</xdr:colOff>
      <xdr:row>14</xdr:row>
      <xdr:rowOff>175260</xdr:rowOff>
    </xdr:from>
    <xdr:to>
      <xdr:col>4</xdr:col>
      <xdr:colOff>22860</xdr:colOff>
      <xdr:row>29</xdr:row>
      <xdr:rowOff>175260</xdr:rowOff>
    </xdr:to>
    <xdr:graphicFrame macro="">
      <xdr:nvGraphicFramePr>
        <xdr:cNvPr id="2" name="Chart 1">
          <a:extLst>
            <a:ext uri="{FF2B5EF4-FFF2-40B4-BE49-F238E27FC236}">
              <a16:creationId xmlns:a16="http://schemas.microsoft.com/office/drawing/2014/main" id="{05E9897D-9BE5-C743-513B-8CEEE37BC3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236220</xdr:colOff>
      <xdr:row>14</xdr:row>
      <xdr:rowOff>114300</xdr:rowOff>
    </xdr:from>
    <xdr:to>
      <xdr:col>7</xdr:col>
      <xdr:colOff>990600</xdr:colOff>
      <xdr:row>25</xdr:row>
      <xdr:rowOff>137160</xdr:rowOff>
    </xdr:to>
    <xdr:graphicFrame macro="">
      <xdr:nvGraphicFramePr>
        <xdr:cNvPr id="3" name="Chart 2">
          <a:extLst>
            <a:ext uri="{FF2B5EF4-FFF2-40B4-BE49-F238E27FC236}">
              <a16:creationId xmlns:a16="http://schemas.microsoft.com/office/drawing/2014/main" id="{C9F341D7-D3E7-94A3-E496-FDD835C99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906780</xdr:colOff>
      <xdr:row>7</xdr:row>
      <xdr:rowOff>83820</xdr:rowOff>
    </xdr:from>
    <xdr:to>
      <xdr:col>7</xdr:col>
      <xdr:colOff>502920</xdr:colOff>
      <xdr:row>19</xdr:row>
      <xdr:rowOff>106680</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56A1CAC1-425F-888F-27B1-4466BF92FD7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343400" y="1363980"/>
              <a:ext cx="4762500" cy="22174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6</xdr:col>
      <xdr:colOff>289560</xdr:colOff>
      <xdr:row>26</xdr:row>
      <xdr:rowOff>114300</xdr:rowOff>
    </xdr:from>
    <xdr:to>
      <xdr:col>7</xdr:col>
      <xdr:colOff>556260</xdr:colOff>
      <xdr:row>40</xdr:row>
      <xdr:rowOff>135255</xdr:rowOff>
    </xdr:to>
    <mc:AlternateContent xmlns:mc="http://schemas.openxmlformats.org/markup-compatibility/2006" xmlns:a14="http://schemas.microsoft.com/office/drawing/2010/main">
      <mc:Choice Requires="a14">
        <xdr:graphicFrame macro="">
          <xdr:nvGraphicFramePr>
            <xdr:cNvPr id="5" name="Department 2">
              <a:extLst>
                <a:ext uri="{FF2B5EF4-FFF2-40B4-BE49-F238E27FC236}">
                  <a16:creationId xmlns:a16="http://schemas.microsoft.com/office/drawing/2014/main" id="{FB248B4F-F493-1072-EE66-FDEE9A8400F1}"/>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7330440" y="48691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1287780</xdr:colOff>
      <xdr:row>26</xdr:row>
      <xdr:rowOff>38100</xdr:rowOff>
    </xdr:from>
    <xdr:to>
      <xdr:col>5</xdr:col>
      <xdr:colOff>365760</xdr:colOff>
      <xdr:row>40</xdr:row>
      <xdr:rowOff>59055</xdr:rowOff>
    </xdr:to>
    <mc:AlternateContent xmlns:mc="http://schemas.openxmlformats.org/markup-compatibility/2006" xmlns:a14="http://schemas.microsoft.com/office/drawing/2010/main">
      <mc:Choice Requires="a14">
        <xdr:graphicFrame macro="">
          <xdr:nvGraphicFramePr>
            <xdr:cNvPr id="6" name="Treatment Type 2">
              <a:extLst>
                <a:ext uri="{FF2B5EF4-FFF2-40B4-BE49-F238E27FC236}">
                  <a16:creationId xmlns:a16="http://schemas.microsoft.com/office/drawing/2014/main" id="{814A8B3E-A6D7-47FC-18A5-BD61690807C4}"/>
                </a:ext>
              </a:extLst>
            </xdr:cNvPr>
            <xdr:cNvGraphicFramePr/>
          </xdr:nvGraphicFramePr>
          <xdr:xfrm>
            <a:off x="0" y="0"/>
            <a:ext cx="0" cy="0"/>
          </xdr:xfrm>
          <a:graphic>
            <a:graphicData uri="http://schemas.microsoft.com/office/drawing/2010/slicer">
              <sle:slicer xmlns:sle="http://schemas.microsoft.com/office/drawing/2010/slicer" name="Treatment Type 2"/>
            </a:graphicData>
          </a:graphic>
        </xdr:graphicFrame>
      </mc:Choice>
      <mc:Fallback xmlns="">
        <xdr:sp macro="" textlink="">
          <xdr:nvSpPr>
            <xdr:cNvPr id="0" name=""/>
            <xdr:cNvSpPr>
              <a:spLocks noTextEdit="1"/>
            </xdr:cNvSpPr>
          </xdr:nvSpPr>
          <xdr:spPr>
            <a:xfrm>
              <a:off x="4724400" y="47929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373380</xdr:colOff>
      <xdr:row>26</xdr:row>
      <xdr:rowOff>45720</xdr:rowOff>
    </xdr:from>
    <xdr:to>
      <xdr:col>11</xdr:col>
      <xdr:colOff>30480</xdr:colOff>
      <xdr:row>40</xdr:row>
      <xdr:rowOff>66675</xdr:rowOff>
    </xdr:to>
    <mc:AlternateContent xmlns:mc="http://schemas.openxmlformats.org/markup-compatibility/2006" xmlns:a14="http://schemas.microsoft.com/office/drawing/2010/main">
      <mc:Choice Requires="a14">
        <xdr:graphicFrame macro="">
          <xdr:nvGraphicFramePr>
            <xdr:cNvPr id="7" name="Doctor Name 2">
              <a:extLst>
                <a:ext uri="{FF2B5EF4-FFF2-40B4-BE49-F238E27FC236}">
                  <a16:creationId xmlns:a16="http://schemas.microsoft.com/office/drawing/2014/main" id="{1B444FB4-578A-A24E-F07F-C83D2EF22D87}"/>
                </a:ext>
              </a:extLst>
            </xdr:cNvPr>
            <xdr:cNvGraphicFramePr/>
          </xdr:nvGraphicFramePr>
          <xdr:xfrm>
            <a:off x="0" y="0"/>
            <a:ext cx="0" cy="0"/>
          </xdr:xfrm>
          <a:graphic>
            <a:graphicData uri="http://schemas.microsoft.com/office/drawing/2010/slicer">
              <sle:slicer xmlns:sle="http://schemas.microsoft.com/office/drawing/2010/slicer" name="Doctor Name 2"/>
            </a:graphicData>
          </a:graphic>
        </xdr:graphicFrame>
      </mc:Choice>
      <mc:Fallback xmlns="">
        <xdr:sp macro="" textlink="">
          <xdr:nvSpPr>
            <xdr:cNvPr id="0" name=""/>
            <xdr:cNvSpPr>
              <a:spLocks noTextEdit="1"/>
            </xdr:cNvSpPr>
          </xdr:nvSpPr>
          <xdr:spPr>
            <a:xfrm>
              <a:off x="11216640" y="48006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678180</xdr:colOff>
      <xdr:row>26</xdr:row>
      <xdr:rowOff>106680</xdr:rowOff>
    </xdr:from>
    <xdr:to>
      <xdr:col>9</xdr:col>
      <xdr:colOff>266700</xdr:colOff>
      <xdr:row>40</xdr:row>
      <xdr:rowOff>127635</xdr:rowOff>
    </xdr:to>
    <mc:AlternateContent xmlns:mc="http://schemas.openxmlformats.org/markup-compatibility/2006" xmlns:a14="http://schemas.microsoft.com/office/drawing/2010/main">
      <mc:Choice Requires="a14">
        <xdr:graphicFrame macro="">
          <xdr:nvGraphicFramePr>
            <xdr:cNvPr id="8" name="Gender 2">
              <a:extLst>
                <a:ext uri="{FF2B5EF4-FFF2-40B4-BE49-F238E27FC236}">
                  <a16:creationId xmlns:a16="http://schemas.microsoft.com/office/drawing/2014/main" id="{9803B5EA-6844-6BBD-F562-2F71BC88A7C7}"/>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9281160" y="48615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7620</xdr:colOff>
      <xdr:row>34</xdr:row>
      <xdr:rowOff>83820</xdr:rowOff>
    </xdr:from>
    <xdr:to>
      <xdr:col>6</xdr:col>
      <xdr:colOff>1341120</xdr:colOff>
      <xdr:row>44</xdr:row>
      <xdr:rowOff>22860</xdr:rowOff>
    </xdr:to>
    <xdr:graphicFrame macro="">
      <xdr:nvGraphicFramePr>
        <xdr:cNvPr id="9" name="Chart 8">
          <a:extLst>
            <a:ext uri="{FF2B5EF4-FFF2-40B4-BE49-F238E27FC236}">
              <a16:creationId xmlns:a16="http://schemas.microsoft.com/office/drawing/2014/main" id="{27C3E99D-C354-5F0A-44EE-F416D729DF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47</xdr:row>
      <xdr:rowOff>0</xdr:rowOff>
    </xdr:from>
    <xdr:to>
      <xdr:col>8</xdr:col>
      <xdr:colOff>259080</xdr:colOff>
      <xdr:row>57</xdr:row>
      <xdr:rowOff>114300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6F82C78E-B84B-4889-B1F2-B014AA4A33B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040880" y="8595360"/>
              <a:ext cx="3208020" cy="19431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708660</xdr:colOff>
      <xdr:row>40</xdr:row>
      <xdr:rowOff>133350</xdr:rowOff>
    </xdr:from>
    <xdr:to>
      <xdr:col>6</xdr:col>
      <xdr:colOff>281940</xdr:colOff>
      <xdr:row>52</xdr:row>
      <xdr:rowOff>15240</xdr:rowOff>
    </xdr:to>
    <xdr:graphicFrame macro="">
      <xdr:nvGraphicFramePr>
        <xdr:cNvPr id="11" name="Chart 10">
          <a:extLst>
            <a:ext uri="{FF2B5EF4-FFF2-40B4-BE49-F238E27FC236}">
              <a16:creationId xmlns:a16="http://schemas.microsoft.com/office/drawing/2014/main" id="{13B3F983-B9E5-C84C-E229-1160AC5FF8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1485900</xdr:colOff>
      <xdr:row>61</xdr:row>
      <xdr:rowOff>106680</xdr:rowOff>
    </xdr:from>
    <xdr:to>
      <xdr:col>6</xdr:col>
      <xdr:colOff>982980</xdr:colOff>
      <xdr:row>77</xdr:row>
      <xdr:rowOff>7620</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81F4EBBD-ACF4-9061-CAB9-37FF238A57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3360420" y="11262360"/>
              <a:ext cx="4663440" cy="28270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hon singh bhadauria" refreshedDate="46168.759011689814" createdVersion="8" refreshedVersion="8" minRefreshableVersion="3" recordCount="200" xr:uid="{3F84A234-30C8-4FD2-A727-08AEA078AA2F}">
  <cacheSource type="worksheet">
    <worksheetSource name="Table1"/>
  </cacheSource>
  <cacheFields count="11">
    <cacheField name="Patient ID" numFmtId="0">
      <sharedItems/>
    </cacheField>
    <cacheField name="Department" numFmtId="0">
      <sharedItems count="6">
        <s v="Gastroenterology"/>
        <s v="Pediatrics"/>
        <s v="Orthopedics"/>
        <s v="Cardiology"/>
        <s v="Neurology"/>
        <s v="Oncology"/>
      </sharedItems>
    </cacheField>
    <cacheField name="Treatment Type" numFmtId="0">
      <sharedItems count="4">
        <s v="Therapy"/>
        <s v="Medication"/>
        <s v="Observation"/>
        <s v="Surgery"/>
      </sharedItems>
    </cacheField>
    <cacheField name="Doctor Name" numFmtId="0">
      <sharedItems count="5">
        <s v="Dr. L. Khan"/>
        <s v="Dr. M. Patel"/>
        <s v="Dr. T. Mehta"/>
        <s v="Dr. A. Sharma"/>
        <s v="Dr. R. Singh"/>
      </sharedItems>
    </cacheField>
    <cacheField name="Gender" numFmtId="0">
      <sharedItems count="3">
        <s v="Female"/>
        <s v="Male"/>
        <s v="Other"/>
      </sharedItems>
    </cacheField>
    <cacheField name="Age" numFmtId="0">
      <sharedItems containsSemiMixedTypes="0" containsString="0" containsNumber="1" containsInteger="1" minValue="1" maxValue="90"/>
    </cacheField>
    <cacheField name="Treatment Cost" numFmtId="0">
      <sharedItems containsSemiMixedTypes="0" containsString="0" containsNumber="1" minValue="5444.8" maxValue="149340.16"/>
    </cacheField>
    <cacheField name="Hospital Stay (Days)" numFmtId="0">
      <sharedItems containsSemiMixedTypes="0" containsString="0" containsNumber="1" containsInteger="1" minValue="1" maxValue="30"/>
    </cacheField>
    <cacheField name="Recovery Score" numFmtId="0">
      <sharedItems containsSemiMixedTypes="0" containsString="0" containsNumber="1" containsInteger="1" minValue="40" maxValue="100"/>
    </cacheField>
    <cacheField name="Cost Category" numFmtId="0">
      <sharedItems count="2">
        <s v="Low  Cost"/>
        <s v="High Cost"/>
      </sharedItems>
    </cacheField>
    <cacheField name="Age Group" numFmtId="0">
      <sharedItems count="8">
        <s v="Child"/>
        <s v="Middle-aged"/>
        <s v="Elderly"/>
        <s v="Young Adult"/>
        <s v="Adult"/>
        <s v="Senior"/>
        <s v="Teenager"/>
        <s v="Infant/Toddler"/>
      </sharedItems>
    </cacheField>
  </cacheFields>
  <extLst>
    <ext xmlns:x14="http://schemas.microsoft.com/office/spreadsheetml/2009/9/main" uri="{725AE2AE-9491-48be-B2B4-4EB974FC3084}">
      <x14:pivotCacheDefinition pivotCacheId="11603763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P1001"/>
    <x v="0"/>
    <x v="0"/>
    <x v="0"/>
    <x v="0"/>
    <n v="12"/>
    <n v="68632.97"/>
    <n v="21"/>
    <n v="82"/>
    <x v="0"/>
    <x v="0"/>
  </r>
  <r>
    <s v="P1002"/>
    <x v="1"/>
    <x v="1"/>
    <x v="1"/>
    <x v="1"/>
    <n v="52"/>
    <n v="10231.42"/>
    <n v="20"/>
    <n v="42"/>
    <x v="0"/>
    <x v="1"/>
  </r>
  <r>
    <s v="P1003"/>
    <x v="1"/>
    <x v="0"/>
    <x v="0"/>
    <x v="1"/>
    <n v="79"/>
    <n v="10160.24"/>
    <n v="2"/>
    <n v="72"/>
    <x v="0"/>
    <x v="2"/>
  </r>
  <r>
    <s v="P1004"/>
    <x v="1"/>
    <x v="0"/>
    <x v="0"/>
    <x v="0"/>
    <n v="23"/>
    <n v="103508.96"/>
    <n v="20"/>
    <n v="50"/>
    <x v="1"/>
    <x v="3"/>
  </r>
  <r>
    <s v="P1005"/>
    <x v="2"/>
    <x v="1"/>
    <x v="2"/>
    <x v="0"/>
    <n v="7"/>
    <n v="143427.51999999999"/>
    <n v="6"/>
    <n v="43"/>
    <x v="1"/>
    <x v="0"/>
  </r>
  <r>
    <s v="P1006"/>
    <x v="3"/>
    <x v="1"/>
    <x v="3"/>
    <x v="0"/>
    <n v="78"/>
    <n v="146252.19"/>
    <n v="9"/>
    <n v="41"/>
    <x v="1"/>
    <x v="2"/>
  </r>
  <r>
    <s v="P1007"/>
    <x v="3"/>
    <x v="2"/>
    <x v="1"/>
    <x v="2"/>
    <n v="30"/>
    <n v="54393.48"/>
    <n v="1"/>
    <n v="42"/>
    <x v="0"/>
    <x v="4"/>
  </r>
  <r>
    <s v="P1008"/>
    <x v="4"/>
    <x v="2"/>
    <x v="4"/>
    <x v="2"/>
    <n v="68"/>
    <n v="30452.22"/>
    <n v="6"/>
    <n v="77"/>
    <x v="0"/>
    <x v="5"/>
  </r>
  <r>
    <s v="P1009"/>
    <x v="0"/>
    <x v="2"/>
    <x v="0"/>
    <x v="2"/>
    <n v="41"/>
    <n v="79517.25"/>
    <n v="9"/>
    <n v="62"/>
    <x v="1"/>
    <x v="4"/>
  </r>
  <r>
    <s v="P1010"/>
    <x v="1"/>
    <x v="1"/>
    <x v="2"/>
    <x v="2"/>
    <n v="56"/>
    <n v="116558.38"/>
    <n v="24"/>
    <n v="48"/>
    <x v="1"/>
    <x v="1"/>
  </r>
  <r>
    <s v="P1011"/>
    <x v="5"/>
    <x v="1"/>
    <x v="2"/>
    <x v="0"/>
    <n v="24"/>
    <n v="135883.74"/>
    <n v="15"/>
    <n v="54"/>
    <x v="1"/>
    <x v="3"/>
  </r>
  <r>
    <s v="P1012"/>
    <x v="1"/>
    <x v="2"/>
    <x v="1"/>
    <x v="0"/>
    <n v="62"/>
    <n v="148179.98000000001"/>
    <n v="11"/>
    <n v="87"/>
    <x v="1"/>
    <x v="5"/>
  </r>
  <r>
    <s v="P1013"/>
    <x v="3"/>
    <x v="2"/>
    <x v="4"/>
    <x v="0"/>
    <n v="65"/>
    <n v="20591.650000000001"/>
    <n v="28"/>
    <n v="52"/>
    <x v="0"/>
    <x v="5"/>
  </r>
  <r>
    <s v="P1014"/>
    <x v="0"/>
    <x v="2"/>
    <x v="0"/>
    <x v="0"/>
    <n v="13"/>
    <n v="59149.07"/>
    <n v="19"/>
    <n v="86"/>
    <x v="0"/>
    <x v="6"/>
  </r>
  <r>
    <s v="P1015"/>
    <x v="0"/>
    <x v="3"/>
    <x v="3"/>
    <x v="1"/>
    <n v="39"/>
    <n v="59335.72"/>
    <n v="28"/>
    <n v="80"/>
    <x v="0"/>
    <x v="4"/>
  </r>
  <r>
    <s v="P1016"/>
    <x v="2"/>
    <x v="1"/>
    <x v="0"/>
    <x v="1"/>
    <n v="85"/>
    <n v="101936.34"/>
    <n v="27"/>
    <n v="99"/>
    <x v="1"/>
    <x v="2"/>
  </r>
  <r>
    <s v="P1017"/>
    <x v="2"/>
    <x v="3"/>
    <x v="0"/>
    <x v="1"/>
    <n v="52"/>
    <n v="107481.12"/>
    <n v="8"/>
    <n v="93"/>
    <x v="1"/>
    <x v="1"/>
  </r>
  <r>
    <s v="P1018"/>
    <x v="5"/>
    <x v="0"/>
    <x v="2"/>
    <x v="1"/>
    <n v="25"/>
    <n v="142574.53"/>
    <n v="30"/>
    <n v="99"/>
    <x v="1"/>
    <x v="3"/>
  </r>
  <r>
    <s v="P1019"/>
    <x v="1"/>
    <x v="3"/>
    <x v="2"/>
    <x v="1"/>
    <n v="1"/>
    <n v="43174.44"/>
    <n v="24"/>
    <n v="100"/>
    <x v="0"/>
    <x v="7"/>
  </r>
  <r>
    <s v="P1020"/>
    <x v="4"/>
    <x v="1"/>
    <x v="0"/>
    <x v="0"/>
    <n v="3"/>
    <n v="125171.58"/>
    <n v="30"/>
    <n v="89"/>
    <x v="1"/>
    <x v="7"/>
  </r>
  <r>
    <s v="P1021"/>
    <x v="1"/>
    <x v="0"/>
    <x v="3"/>
    <x v="1"/>
    <n v="31"/>
    <n v="51842.34"/>
    <n v="15"/>
    <n v="74"/>
    <x v="0"/>
    <x v="4"/>
  </r>
  <r>
    <s v="P1022"/>
    <x v="5"/>
    <x v="0"/>
    <x v="3"/>
    <x v="1"/>
    <n v="66"/>
    <n v="30547.73"/>
    <n v="11"/>
    <n v="47"/>
    <x v="0"/>
    <x v="5"/>
  </r>
  <r>
    <s v="P1023"/>
    <x v="2"/>
    <x v="0"/>
    <x v="4"/>
    <x v="1"/>
    <n v="68"/>
    <n v="68961.679999999993"/>
    <n v="5"/>
    <n v="67"/>
    <x v="0"/>
    <x v="5"/>
  </r>
  <r>
    <s v="P1024"/>
    <x v="5"/>
    <x v="0"/>
    <x v="4"/>
    <x v="2"/>
    <n v="75"/>
    <n v="89887.05"/>
    <n v="28"/>
    <n v="92"/>
    <x v="1"/>
    <x v="2"/>
  </r>
  <r>
    <s v="P1025"/>
    <x v="1"/>
    <x v="1"/>
    <x v="0"/>
    <x v="1"/>
    <n v="35"/>
    <n v="54350.5"/>
    <n v="24"/>
    <n v="70"/>
    <x v="0"/>
    <x v="4"/>
  </r>
  <r>
    <s v="P1026"/>
    <x v="4"/>
    <x v="0"/>
    <x v="2"/>
    <x v="1"/>
    <n v="56"/>
    <n v="47635.12"/>
    <n v="3"/>
    <n v="47"/>
    <x v="0"/>
    <x v="1"/>
  </r>
  <r>
    <s v="P1027"/>
    <x v="2"/>
    <x v="3"/>
    <x v="2"/>
    <x v="2"/>
    <n v="34"/>
    <n v="136077.99"/>
    <n v="25"/>
    <n v="58"/>
    <x v="1"/>
    <x v="4"/>
  </r>
  <r>
    <s v="P1028"/>
    <x v="3"/>
    <x v="0"/>
    <x v="2"/>
    <x v="1"/>
    <n v="31"/>
    <n v="103276.56"/>
    <n v="30"/>
    <n v="84"/>
    <x v="1"/>
    <x v="4"/>
  </r>
  <r>
    <s v="P1029"/>
    <x v="0"/>
    <x v="3"/>
    <x v="3"/>
    <x v="1"/>
    <n v="25"/>
    <n v="38676.85"/>
    <n v="9"/>
    <n v="70"/>
    <x v="0"/>
    <x v="3"/>
  </r>
  <r>
    <s v="P1030"/>
    <x v="0"/>
    <x v="3"/>
    <x v="4"/>
    <x v="2"/>
    <n v="86"/>
    <n v="35788.22"/>
    <n v="3"/>
    <n v="66"/>
    <x v="0"/>
    <x v="2"/>
  </r>
  <r>
    <s v="P1031"/>
    <x v="5"/>
    <x v="1"/>
    <x v="0"/>
    <x v="1"/>
    <n v="79"/>
    <n v="140415.63"/>
    <n v="16"/>
    <n v="67"/>
    <x v="1"/>
    <x v="2"/>
  </r>
  <r>
    <s v="P1032"/>
    <x v="2"/>
    <x v="3"/>
    <x v="3"/>
    <x v="1"/>
    <n v="51"/>
    <n v="143365.82999999999"/>
    <n v="1"/>
    <n v="58"/>
    <x v="1"/>
    <x v="1"/>
  </r>
  <r>
    <s v="P1033"/>
    <x v="0"/>
    <x v="1"/>
    <x v="1"/>
    <x v="1"/>
    <n v="1"/>
    <n v="101058.07"/>
    <n v="4"/>
    <n v="81"/>
    <x v="1"/>
    <x v="7"/>
  </r>
  <r>
    <s v="P1034"/>
    <x v="2"/>
    <x v="0"/>
    <x v="0"/>
    <x v="2"/>
    <n v="58"/>
    <n v="41426.04"/>
    <n v="6"/>
    <n v="67"/>
    <x v="0"/>
    <x v="1"/>
  </r>
  <r>
    <s v="P1035"/>
    <x v="2"/>
    <x v="2"/>
    <x v="1"/>
    <x v="0"/>
    <n v="15"/>
    <n v="131454.59"/>
    <n v="30"/>
    <n v="83"/>
    <x v="1"/>
    <x v="6"/>
  </r>
  <r>
    <s v="P1036"/>
    <x v="0"/>
    <x v="1"/>
    <x v="4"/>
    <x v="0"/>
    <n v="5"/>
    <n v="48581.36"/>
    <n v="16"/>
    <n v="40"/>
    <x v="0"/>
    <x v="7"/>
  </r>
  <r>
    <s v="P1037"/>
    <x v="1"/>
    <x v="0"/>
    <x v="1"/>
    <x v="0"/>
    <n v="41"/>
    <n v="143381.07"/>
    <n v="1"/>
    <n v="87"/>
    <x v="1"/>
    <x v="4"/>
  </r>
  <r>
    <s v="P1038"/>
    <x v="1"/>
    <x v="0"/>
    <x v="1"/>
    <x v="1"/>
    <n v="3"/>
    <n v="50045.440000000002"/>
    <n v="15"/>
    <n v="84"/>
    <x v="0"/>
    <x v="7"/>
  </r>
  <r>
    <s v="P1039"/>
    <x v="2"/>
    <x v="0"/>
    <x v="1"/>
    <x v="2"/>
    <n v="58"/>
    <n v="86479.95"/>
    <n v="1"/>
    <n v="75"/>
    <x v="1"/>
    <x v="1"/>
  </r>
  <r>
    <s v="P1040"/>
    <x v="1"/>
    <x v="3"/>
    <x v="2"/>
    <x v="1"/>
    <n v="14"/>
    <n v="9067.3799999999992"/>
    <n v="28"/>
    <n v="86"/>
    <x v="0"/>
    <x v="6"/>
  </r>
  <r>
    <s v="P1041"/>
    <x v="1"/>
    <x v="2"/>
    <x v="2"/>
    <x v="1"/>
    <n v="31"/>
    <n v="113414.83"/>
    <n v="8"/>
    <n v="70"/>
    <x v="1"/>
    <x v="4"/>
  </r>
  <r>
    <s v="P1042"/>
    <x v="4"/>
    <x v="1"/>
    <x v="0"/>
    <x v="1"/>
    <n v="85"/>
    <n v="78946.19"/>
    <n v="3"/>
    <n v="48"/>
    <x v="1"/>
    <x v="2"/>
  </r>
  <r>
    <s v="P1043"/>
    <x v="0"/>
    <x v="0"/>
    <x v="3"/>
    <x v="1"/>
    <n v="22"/>
    <n v="100035.91"/>
    <n v="29"/>
    <n v="70"/>
    <x v="1"/>
    <x v="3"/>
  </r>
  <r>
    <s v="P1044"/>
    <x v="1"/>
    <x v="2"/>
    <x v="2"/>
    <x v="1"/>
    <n v="62"/>
    <n v="149340.16"/>
    <n v="18"/>
    <n v="49"/>
    <x v="1"/>
    <x v="5"/>
  </r>
  <r>
    <s v="P1045"/>
    <x v="0"/>
    <x v="0"/>
    <x v="0"/>
    <x v="0"/>
    <n v="79"/>
    <n v="105328.19"/>
    <n v="26"/>
    <n v="94"/>
    <x v="1"/>
    <x v="2"/>
  </r>
  <r>
    <s v="P1046"/>
    <x v="0"/>
    <x v="2"/>
    <x v="0"/>
    <x v="2"/>
    <n v="19"/>
    <n v="21826.12"/>
    <n v="17"/>
    <n v="48"/>
    <x v="0"/>
    <x v="6"/>
  </r>
  <r>
    <s v="P1047"/>
    <x v="5"/>
    <x v="0"/>
    <x v="4"/>
    <x v="1"/>
    <n v="37"/>
    <n v="77556.53"/>
    <n v="24"/>
    <n v="87"/>
    <x v="1"/>
    <x v="4"/>
  </r>
  <r>
    <s v="P1048"/>
    <x v="5"/>
    <x v="2"/>
    <x v="3"/>
    <x v="1"/>
    <n v="30"/>
    <n v="53806.86"/>
    <n v="21"/>
    <n v="82"/>
    <x v="0"/>
    <x v="4"/>
  </r>
  <r>
    <s v="P1049"/>
    <x v="1"/>
    <x v="3"/>
    <x v="0"/>
    <x v="1"/>
    <n v="66"/>
    <n v="84096.91"/>
    <n v="18"/>
    <n v="91"/>
    <x v="1"/>
    <x v="5"/>
  </r>
  <r>
    <s v="P1050"/>
    <x v="0"/>
    <x v="2"/>
    <x v="0"/>
    <x v="1"/>
    <n v="22"/>
    <n v="46384.67"/>
    <n v="3"/>
    <n v="84"/>
    <x v="0"/>
    <x v="3"/>
  </r>
  <r>
    <s v="P1051"/>
    <x v="0"/>
    <x v="2"/>
    <x v="1"/>
    <x v="1"/>
    <n v="60"/>
    <n v="122442.43"/>
    <n v="6"/>
    <n v="94"/>
    <x v="1"/>
    <x v="5"/>
  </r>
  <r>
    <s v="P1052"/>
    <x v="4"/>
    <x v="1"/>
    <x v="0"/>
    <x v="2"/>
    <n v="35"/>
    <n v="73863.679999999993"/>
    <n v="17"/>
    <n v="42"/>
    <x v="0"/>
    <x v="4"/>
  </r>
  <r>
    <s v="P1053"/>
    <x v="2"/>
    <x v="0"/>
    <x v="2"/>
    <x v="0"/>
    <n v="21"/>
    <n v="75334.19"/>
    <n v="23"/>
    <n v="51"/>
    <x v="1"/>
    <x v="3"/>
  </r>
  <r>
    <s v="P1054"/>
    <x v="4"/>
    <x v="2"/>
    <x v="1"/>
    <x v="2"/>
    <n v="51"/>
    <n v="59829.99"/>
    <n v="2"/>
    <n v="40"/>
    <x v="0"/>
    <x v="1"/>
  </r>
  <r>
    <s v="P1055"/>
    <x v="4"/>
    <x v="2"/>
    <x v="4"/>
    <x v="0"/>
    <n v="87"/>
    <n v="5444.8"/>
    <n v="5"/>
    <n v="42"/>
    <x v="0"/>
    <x v="2"/>
  </r>
  <r>
    <s v="P1056"/>
    <x v="3"/>
    <x v="0"/>
    <x v="1"/>
    <x v="1"/>
    <n v="11"/>
    <n v="39022.85"/>
    <n v="8"/>
    <n v="96"/>
    <x v="0"/>
    <x v="0"/>
  </r>
  <r>
    <s v="P1057"/>
    <x v="1"/>
    <x v="0"/>
    <x v="0"/>
    <x v="1"/>
    <n v="7"/>
    <n v="127110.45"/>
    <n v="30"/>
    <n v="100"/>
    <x v="1"/>
    <x v="0"/>
  </r>
  <r>
    <s v="P1058"/>
    <x v="3"/>
    <x v="1"/>
    <x v="1"/>
    <x v="2"/>
    <n v="80"/>
    <n v="120082.46"/>
    <n v="16"/>
    <n v="93"/>
    <x v="1"/>
    <x v="2"/>
  </r>
  <r>
    <s v="P1059"/>
    <x v="1"/>
    <x v="2"/>
    <x v="1"/>
    <x v="1"/>
    <n v="75"/>
    <n v="79671.37"/>
    <n v="30"/>
    <n v="43"/>
    <x v="1"/>
    <x v="2"/>
  </r>
  <r>
    <s v="P1060"/>
    <x v="0"/>
    <x v="3"/>
    <x v="0"/>
    <x v="1"/>
    <n v="7"/>
    <n v="66277.52"/>
    <n v="26"/>
    <n v="69"/>
    <x v="0"/>
    <x v="0"/>
  </r>
  <r>
    <s v="P1061"/>
    <x v="2"/>
    <x v="0"/>
    <x v="4"/>
    <x v="0"/>
    <n v="14"/>
    <n v="12241.3"/>
    <n v="20"/>
    <n v="40"/>
    <x v="0"/>
    <x v="6"/>
  </r>
  <r>
    <s v="P1062"/>
    <x v="5"/>
    <x v="2"/>
    <x v="1"/>
    <x v="1"/>
    <n v="22"/>
    <n v="133882.43"/>
    <n v="29"/>
    <n v="63"/>
    <x v="1"/>
    <x v="3"/>
  </r>
  <r>
    <s v="P1063"/>
    <x v="3"/>
    <x v="3"/>
    <x v="0"/>
    <x v="2"/>
    <n v="73"/>
    <n v="148488.95000000001"/>
    <n v="22"/>
    <n v="77"/>
    <x v="1"/>
    <x v="5"/>
  </r>
  <r>
    <s v="P1064"/>
    <x v="4"/>
    <x v="1"/>
    <x v="0"/>
    <x v="2"/>
    <n v="5"/>
    <n v="74239.37"/>
    <n v="7"/>
    <n v="61"/>
    <x v="0"/>
    <x v="7"/>
  </r>
  <r>
    <s v="P1065"/>
    <x v="2"/>
    <x v="1"/>
    <x v="4"/>
    <x v="1"/>
    <n v="6"/>
    <n v="98732.94"/>
    <n v="25"/>
    <n v="45"/>
    <x v="1"/>
    <x v="0"/>
  </r>
  <r>
    <s v="P1066"/>
    <x v="0"/>
    <x v="0"/>
    <x v="2"/>
    <x v="0"/>
    <n v="4"/>
    <n v="66339.33"/>
    <n v="5"/>
    <n v="77"/>
    <x v="0"/>
    <x v="7"/>
  </r>
  <r>
    <s v="P1067"/>
    <x v="0"/>
    <x v="1"/>
    <x v="4"/>
    <x v="1"/>
    <n v="14"/>
    <n v="113363.27"/>
    <n v="9"/>
    <n v="74"/>
    <x v="1"/>
    <x v="6"/>
  </r>
  <r>
    <s v="P1068"/>
    <x v="0"/>
    <x v="1"/>
    <x v="4"/>
    <x v="0"/>
    <n v="11"/>
    <n v="24492.09"/>
    <n v="8"/>
    <n v="58"/>
    <x v="0"/>
    <x v="0"/>
  </r>
  <r>
    <s v="P1069"/>
    <x v="3"/>
    <x v="1"/>
    <x v="4"/>
    <x v="0"/>
    <n v="19"/>
    <n v="42080.85"/>
    <n v="29"/>
    <n v="65"/>
    <x v="0"/>
    <x v="6"/>
  </r>
  <r>
    <s v="P1070"/>
    <x v="4"/>
    <x v="1"/>
    <x v="2"/>
    <x v="2"/>
    <n v="56"/>
    <n v="147658.16"/>
    <n v="11"/>
    <n v="96"/>
    <x v="1"/>
    <x v="1"/>
  </r>
  <r>
    <s v="P1071"/>
    <x v="2"/>
    <x v="1"/>
    <x v="0"/>
    <x v="0"/>
    <n v="40"/>
    <n v="79386.600000000006"/>
    <n v="21"/>
    <n v="67"/>
    <x v="1"/>
    <x v="4"/>
  </r>
  <r>
    <s v="P1072"/>
    <x v="5"/>
    <x v="3"/>
    <x v="1"/>
    <x v="1"/>
    <n v="6"/>
    <n v="22175.37"/>
    <n v="17"/>
    <n v="82"/>
    <x v="0"/>
    <x v="0"/>
  </r>
  <r>
    <s v="P1073"/>
    <x v="4"/>
    <x v="2"/>
    <x v="0"/>
    <x v="2"/>
    <n v="62"/>
    <n v="16296.15"/>
    <n v="28"/>
    <n v="63"/>
    <x v="0"/>
    <x v="5"/>
  </r>
  <r>
    <s v="P1074"/>
    <x v="4"/>
    <x v="3"/>
    <x v="0"/>
    <x v="2"/>
    <n v="56"/>
    <n v="120488.57"/>
    <n v="30"/>
    <n v="48"/>
    <x v="1"/>
    <x v="1"/>
  </r>
  <r>
    <s v="P1075"/>
    <x v="2"/>
    <x v="2"/>
    <x v="0"/>
    <x v="0"/>
    <n v="8"/>
    <n v="111873.66"/>
    <n v="16"/>
    <n v="74"/>
    <x v="1"/>
    <x v="0"/>
  </r>
  <r>
    <s v="P1076"/>
    <x v="2"/>
    <x v="1"/>
    <x v="2"/>
    <x v="1"/>
    <n v="62"/>
    <n v="27610.65"/>
    <n v="26"/>
    <n v="72"/>
    <x v="0"/>
    <x v="5"/>
  </r>
  <r>
    <s v="P1077"/>
    <x v="2"/>
    <x v="3"/>
    <x v="4"/>
    <x v="2"/>
    <n v="17"/>
    <n v="142458.98000000001"/>
    <n v="6"/>
    <n v="69"/>
    <x v="1"/>
    <x v="6"/>
  </r>
  <r>
    <s v="P1078"/>
    <x v="2"/>
    <x v="0"/>
    <x v="2"/>
    <x v="2"/>
    <n v="7"/>
    <n v="23799.83"/>
    <n v="26"/>
    <n v="52"/>
    <x v="0"/>
    <x v="0"/>
  </r>
  <r>
    <s v="P1079"/>
    <x v="5"/>
    <x v="3"/>
    <x v="0"/>
    <x v="2"/>
    <n v="49"/>
    <n v="117019.47"/>
    <n v="28"/>
    <n v="63"/>
    <x v="1"/>
    <x v="1"/>
  </r>
  <r>
    <s v="P1080"/>
    <x v="5"/>
    <x v="0"/>
    <x v="4"/>
    <x v="2"/>
    <n v="12"/>
    <n v="69472.05"/>
    <n v="11"/>
    <n v="68"/>
    <x v="0"/>
    <x v="0"/>
  </r>
  <r>
    <s v="P1081"/>
    <x v="3"/>
    <x v="0"/>
    <x v="4"/>
    <x v="0"/>
    <n v="5"/>
    <n v="64103.040000000001"/>
    <n v="14"/>
    <n v="42"/>
    <x v="0"/>
    <x v="7"/>
  </r>
  <r>
    <s v="P1082"/>
    <x v="2"/>
    <x v="0"/>
    <x v="0"/>
    <x v="2"/>
    <n v="13"/>
    <n v="137441.75"/>
    <n v="23"/>
    <n v="74"/>
    <x v="1"/>
    <x v="6"/>
  </r>
  <r>
    <s v="P1083"/>
    <x v="3"/>
    <x v="0"/>
    <x v="2"/>
    <x v="0"/>
    <n v="71"/>
    <n v="11066.61"/>
    <n v="17"/>
    <n v="86"/>
    <x v="0"/>
    <x v="5"/>
  </r>
  <r>
    <s v="P1084"/>
    <x v="4"/>
    <x v="1"/>
    <x v="3"/>
    <x v="0"/>
    <n v="87"/>
    <n v="36726.76"/>
    <n v="4"/>
    <n v="53"/>
    <x v="0"/>
    <x v="2"/>
  </r>
  <r>
    <s v="P1085"/>
    <x v="1"/>
    <x v="1"/>
    <x v="1"/>
    <x v="2"/>
    <n v="40"/>
    <n v="19717.900000000001"/>
    <n v="20"/>
    <n v="63"/>
    <x v="0"/>
    <x v="4"/>
  </r>
  <r>
    <s v="P1086"/>
    <x v="5"/>
    <x v="1"/>
    <x v="3"/>
    <x v="2"/>
    <n v="63"/>
    <n v="82657.039999999994"/>
    <n v="4"/>
    <n v="55"/>
    <x v="1"/>
    <x v="5"/>
  </r>
  <r>
    <s v="P1087"/>
    <x v="1"/>
    <x v="1"/>
    <x v="1"/>
    <x v="2"/>
    <n v="1"/>
    <n v="16874.009999999998"/>
    <n v="14"/>
    <n v="76"/>
    <x v="0"/>
    <x v="7"/>
  </r>
  <r>
    <s v="P1088"/>
    <x v="1"/>
    <x v="3"/>
    <x v="0"/>
    <x v="1"/>
    <n v="37"/>
    <n v="8578.83"/>
    <n v="2"/>
    <n v="90"/>
    <x v="0"/>
    <x v="4"/>
  </r>
  <r>
    <s v="P1089"/>
    <x v="5"/>
    <x v="0"/>
    <x v="1"/>
    <x v="1"/>
    <n v="7"/>
    <n v="22311.39"/>
    <n v="14"/>
    <n v="86"/>
    <x v="0"/>
    <x v="0"/>
  </r>
  <r>
    <s v="P1090"/>
    <x v="3"/>
    <x v="3"/>
    <x v="0"/>
    <x v="2"/>
    <n v="46"/>
    <n v="128560.01"/>
    <n v="7"/>
    <n v="52"/>
    <x v="1"/>
    <x v="1"/>
  </r>
  <r>
    <s v="P1091"/>
    <x v="4"/>
    <x v="0"/>
    <x v="2"/>
    <x v="2"/>
    <n v="30"/>
    <n v="147742.63"/>
    <n v="28"/>
    <n v="62"/>
    <x v="1"/>
    <x v="4"/>
  </r>
  <r>
    <s v="P1092"/>
    <x v="1"/>
    <x v="0"/>
    <x v="1"/>
    <x v="2"/>
    <n v="66"/>
    <n v="54562.1"/>
    <n v="21"/>
    <n v="86"/>
    <x v="0"/>
    <x v="5"/>
  </r>
  <r>
    <s v="P1093"/>
    <x v="5"/>
    <x v="2"/>
    <x v="2"/>
    <x v="2"/>
    <n v="1"/>
    <n v="146289.26999999999"/>
    <n v="17"/>
    <n v="47"/>
    <x v="1"/>
    <x v="7"/>
  </r>
  <r>
    <s v="P1094"/>
    <x v="4"/>
    <x v="3"/>
    <x v="4"/>
    <x v="2"/>
    <n v="89"/>
    <n v="128840.81"/>
    <n v="22"/>
    <n v="81"/>
    <x v="1"/>
    <x v="2"/>
  </r>
  <r>
    <s v="P1095"/>
    <x v="2"/>
    <x v="1"/>
    <x v="1"/>
    <x v="2"/>
    <n v="48"/>
    <n v="19629.22"/>
    <n v="2"/>
    <n v="95"/>
    <x v="0"/>
    <x v="1"/>
  </r>
  <r>
    <s v="P1096"/>
    <x v="4"/>
    <x v="2"/>
    <x v="4"/>
    <x v="0"/>
    <n v="59"/>
    <n v="73629.03"/>
    <n v="10"/>
    <n v="85"/>
    <x v="0"/>
    <x v="1"/>
  </r>
  <r>
    <s v="P1097"/>
    <x v="3"/>
    <x v="1"/>
    <x v="4"/>
    <x v="2"/>
    <n v="54"/>
    <n v="100747.7"/>
    <n v="12"/>
    <n v="74"/>
    <x v="1"/>
    <x v="1"/>
  </r>
  <r>
    <s v="P1098"/>
    <x v="1"/>
    <x v="0"/>
    <x v="0"/>
    <x v="2"/>
    <n v="35"/>
    <n v="85523.17"/>
    <n v="30"/>
    <n v="90"/>
    <x v="1"/>
    <x v="4"/>
  </r>
  <r>
    <s v="P1099"/>
    <x v="4"/>
    <x v="1"/>
    <x v="2"/>
    <x v="2"/>
    <n v="33"/>
    <n v="79151.14"/>
    <n v="2"/>
    <n v="56"/>
    <x v="1"/>
    <x v="4"/>
  </r>
  <r>
    <s v="P1100"/>
    <x v="5"/>
    <x v="0"/>
    <x v="2"/>
    <x v="0"/>
    <n v="30"/>
    <n v="115395.67"/>
    <n v="11"/>
    <n v="74"/>
    <x v="1"/>
    <x v="4"/>
  </r>
  <r>
    <s v="P1101"/>
    <x v="2"/>
    <x v="2"/>
    <x v="0"/>
    <x v="0"/>
    <n v="60"/>
    <n v="49131.44"/>
    <n v="2"/>
    <n v="44"/>
    <x v="0"/>
    <x v="5"/>
  </r>
  <r>
    <s v="P1102"/>
    <x v="4"/>
    <x v="0"/>
    <x v="2"/>
    <x v="2"/>
    <n v="70"/>
    <n v="58132.5"/>
    <n v="25"/>
    <n v="43"/>
    <x v="0"/>
    <x v="5"/>
  </r>
  <r>
    <s v="P1103"/>
    <x v="5"/>
    <x v="3"/>
    <x v="0"/>
    <x v="0"/>
    <n v="6"/>
    <n v="77311.77"/>
    <n v="19"/>
    <n v="90"/>
    <x v="1"/>
    <x v="0"/>
  </r>
  <r>
    <s v="P1104"/>
    <x v="3"/>
    <x v="2"/>
    <x v="4"/>
    <x v="2"/>
    <n v="70"/>
    <n v="14270.62"/>
    <n v="24"/>
    <n v="43"/>
    <x v="0"/>
    <x v="5"/>
  </r>
  <r>
    <s v="P1105"/>
    <x v="1"/>
    <x v="2"/>
    <x v="3"/>
    <x v="0"/>
    <n v="52"/>
    <n v="97685.72"/>
    <n v="28"/>
    <n v="59"/>
    <x v="1"/>
    <x v="1"/>
  </r>
  <r>
    <s v="P1106"/>
    <x v="0"/>
    <x v="1"/>
    <x v="2"/>
    <x v="1"/>
    <n v="64"/>
    <n v="142687.47"/>
    <n v="27"/>
    <n v="80"/>
    <x v="1"/>
    <x v="5"/>
  </r>
  <r>
    <s v="P1107"/>
    <x v="4"/>
    <x v="2"/>
    <x v="1"/>
    <x v="2"/>
    <n v="35"/>
    <n v="36754.51"/>
    <n v="27"/>
    <n v="49"/>
    <x v="0"/>
    <x v="4"/>
  </r>
  <r>
    <s v="P1108"/>
    <x v="1"/>
    <x v="1"/>
    <x v="1"/>
    <x v="2"/>
    <n v="62"/>
    <n v="34938.57"/>
    <n v="8"/>
    <n v="70"/>
    <x v="0"/>
    <x v="5"/>
  </r>
  <r>
    <s v="P1109"/>
    <x v="2"/>
    <x v="2"/>
    <x v="0"/>
    <x v="0"/>
    <n v="22"/>
    <n v="97228.49"/>
    <n v="7"/>
    <n v="60"/>
    <x v="1"/>
    <x v="3"/>
  </r>
  <r>
    <s v="P1110"/>
    <x v="3"/>
    <x v="2"/>
    <x v="1"/>
    <x v="0"/>
    <n v="42"/>
    <n v="91441.1"/>
    <n v="22"/>
    <n v="84"/>
    <x v="1"/>
    <x v="4"/>
  </r>
  <r>
    <s v="P1111"/>
    <x v="0"/>
    <x v="3"/>
    <x v="4"/>
    <x v="0"/>
    <n v="24"/>
    <n v="139624.06"/>
    <n v="5"/>
    <n v="55"/>
    <x v="1"/>
    <x v="3"/>
  </r>
  <r>
    <s v="P1112"/>
    <x v="3"/>
    <x v="1"/>
    <x v="0"/>
    <x v="2"/>
    <n v="17"/>
    <n v="86650.5"/>
    <n v="3"/>
    <n v="53"/>
    <x v="1"/>
    <x v="6"/>
  </r>
  <r>
    <s v="P1113"/>
    <x v="4"/>
    <x v="0"/>
    <x v="1"/>
    <x v="1"/>
    <n v="75"/>
    <n v="85517.09"/>
    <n v="6"/>
    <n v="79"/>
    <x v="1"/>
    <x v="2"/>
  </r>
  <r>
    <s v="P1114"/>
    <x v="0"/>
    <x v="0"/>
    <x v="1"/>
    <x v="0"/>
    <n v="47"/>
    <n v="134120.62"/>
    <n v="11"/>
    <n v="92"/>
    <x v="1"/>
    <x v="1"/>
  </r>
  <r>
    <s v="P1115"/>
    <x v="2"/>
    <x v="3"/>
    <x v="2"/>
    <x v="2"/>
    <n v="81"/>
    <n v="22593.06"/>
    <n v="6"/>
    <n v="67"/>
    <x v="0"/>
    <x v="2"/>
  </r>
  <r>
    <s v="P1116"/>
    <x v="0"/>
    <x v="2"/>
    <x v="2"/>
    <x v="1"/>
    <n v="20"/>
    <n v="88741.64"/>
    <n v="26"/>
    <n v="99"/>
    <x v="1"/>
    <x v="3"/>
  </r>
  <r>
    <s v="P1117"/>
    <x v="0"/>
    <x v="1"/>
    <x v="1"/>
    <x v="1"/>
    <n v="14"/>
    <n v="10917.19"/>
    <n v="22"/>
    <n v="43"/>
    <x v="0"/>
    <x v="6"/>
  </r>
  <r>
    <s v="P1118"/>
    <x v="0"/>
    <x v="3"/>
    <x v="4"/>
    <x v="0"/>
    <n v="30"/>
    <n v="97613.71"/>
    <n v="24"/>
    <n v="72"/>
    <x v="1"/>
    <x v="4"/>
  </r>
  <r>
    <s v="P1119"/>
    <x v="5"/>
    <x v="3"/>
    <x v="2"/>
    <x v="0"/>
    <n v="81"/>
    <n v="135711.26999999999"/>
    <n v="14"/>
    <n v="99"/>
    <x v="1"/>
    <x v="2"/>
  </r>
  <r>
    <s v="P1120"/>
    <x v="1"/>
    <x v="1"/>
    <x v="2"/>
    <x v="0"/>
    <n v="48"/>
    <n v="117464.18"/>
    <n v="2"/>
    <n v="61"/>
    <x v="1"/>
    <x v="1"/>
  </r>
  <r>
    <s v="P1121"/>
    <x v="2"/>
    <x v="1"/>
    <x v="2"/>
    <x v="2"/>
    <n v="45"/>
    <n v="89474.55"/>
    <n v="21"/>
    <n v="64"/>
    <x v="1"/>
    <x v="1"/>
  </r>
  <r>
    <s v="P1122"/>
    <x v="0"/>
    <x v="3"/>
    <x v="4"/>
    <x v="2"/>
    <n v="1"/>
    <n v="105954.09"/>
    <n v="12"/>
    <n v="95"/>
    <x v="1"/>
    <x v="7"/>
  </r>
  <r>
    <s v="P1123"/>
    <x v="1"/>
    <x v="2"/>
    <x v="3"/>
    <x v="0"/>
    <n v="30"/>
    <n v="91267.91"/>
    <n v="17"/>
    <n v="76"/>
    <x v="1"/>
    <x v="4"/>
  </r>
  <r>
    <s v="P1124"/>
    <x v="5"/>
    <x v="0"/>
    <x v="3"/>
    <x v="0"/>
    <n v="3"/>
    <n v="46506.94"/>
    <n v="9"/>
    <n v="72"/>
    <x v="0"/>
    <x v="7"/>
  </r>
  <r>
    <s v="P1125"/>
    <x v="4"/>
    <x v="3"/>
    <x v="1"/>
    <x v="0"/>
    <n v="78"/>
    <n v="40568.300000000003"/>
    <n v="18"/>
    <n v="91"/>
    <x v="0"/>
    <x v="2"/>
  </r>
  <r>
    <s v="P1126"/>
    <x v="2"/>
    <x v="0"/>
    <x v="4"/>
    <x v="1"/>
    <n v="35"/>
    <n v="132265.98000000001"/>
    <n v="7"/>
    <n v="45"/>
    <x v="1"/>
    <x v="4"/>
  </r>
  <r>
    <s v="P1127"/>
    <x v="1"/>
    <x v="3"/>
    <x v="2"/>
    <x v="1"/>
    <n v="88"/>
    <n v="50993.47"/>
    <n v="4"/>
    <n v="82"/>
    <x v="0"/>
    <x v="2"/>
  </r>
  <r>
    <s v="P1128"/>
    <x v="2"/>
    <x v="3"/>
    <x v="1"/>
    <x v="1"/>
    <n v="7"/>
    <n v="135590.48000000001"/>
    <n v="6"/>
    <n v="46"/>
    <x v="1"/>
    <x v="0"/>
  </r>
  <r>
    <s v="P1129"/>
    <x v="1"/>
    <x v="3"/>
    <x v="4"/>
    <x v="0"/>
    <n v="73"/>
    <n v="148956.56"/>
    <n v="6"/>
    <n v="100"/>
    <x v="1"/>
    <x v="5"/>
  </r>
  <r>
    <s v="P1130"/>
    <x v="3"/>
    <x v="1"/>
    <x v="0"/>
    <x v="1"/>
    <n v="83"/>
    <n v="71584.960000000006"/>
    <n v="26"/>
    <n v="55"/>
    <x v="0"/>
    <x v="2"/>
  </r>
  <r>
    <s v="P1131"/>
    <x v="2"/>
    <x v="2"/>
    <x v="1"/>
    <x v="2"/>
    <n v="37"/>
    <n v="78613.16"/>
    <n v="20"/>
    <n v="85"/>
    <x v="1"/>
    <x v="4"/>
  </r>
  <r>
    <s v="P1132"/>
    <x v="2"/>
    <x v="0"/>
    <x v="2"/>
    <x v="1"/>
    <n v="53"/>
    <n v="103548.4"/>
    <n v="27"/>
    <n v="74"/>
    <x v="1"/>
    <x v="1"/>
  </r>
  <r>
    <s v="P1133"/>
    <x v="4"/>
    <x v="0"/>
    <x v="4"/>
    <x v="2"/>
    <n v="50"/>
    <n v="62134.18"/>
    <n v="13"/>
    <n v="40"/>
    <x v="0"/>
    <x v="1"/>
  </r>
  <r>
    <s v="P1134"/>
    <x v="5"/>
    <x v="3"/>
    <x v="4"/>
    <x v="1"/>
    <n v="7"/>
    <n v="59235.13"/>
    <n v="12"/>
    <n v="42"/>
    <x v="0"/>
    <x v="0"/>
  </r>
  <r>
    <s v="P1135"/>
    <x v="0"/>
    <x v="2"/>
    <x v="4"/>
    <x v="1"/>
    <n v="38"/>
    <n v="118022.05"/>
    <n v="17"/>
    <n v="79"/>
    <x v="1"/>
    <x v="4"/>
  </r>
  <r>
    <s v="P1136"/>
    <x v="3"/>
    <x v="0"/>
    <x v="3"/>
    <x v="0"/>
    <n v="49"/>
    <n v="127750.62"/>
    <n v="18"/>
    <n v="60"/>
    <x v="1"/>
    <x v="1"/>
  </r>
  <r>
    <s v="P1137"/>
    <x v="1"/>
    <x v="2"/>
    <x v="1"/>
    <x v="2"/>
    <n v="27"/>
    <n v="79666.86"/>
    <n v="16"/>
    <n v="85"/>
    <x v="1"/>
    <x v="3"/>
  </r>
  <r>
    <s v="P1138"/>
    <x v="2"/>
    <x v="3"/>
    <x v="0"/>
    <x v="0"/>
    <n v="65"/>
    <n v="120956.04"/>
    <n v="25"/>
    <n v="95"/>
    <x v="1"/>
    <x v="5"/>
  </r>
  <r>
    <s v="P1139"/>
    <x v="0"/>
    <x v="2"/>
    <x v="3"/>
    <x v="1"/>
    <n v="58"/>
    <n v="100338.81"/>
    <n v="7"/>
    <n v="59"/>
    <x v="1"/>
    <x v="1"/>
  </r>
  <r>
    <s v="P1140"/>
    <x v="4"/>
    <x v="2"/>
    <x v="0"/>
    <x v="0"/>
    <n v="22"/>
    <n v="120621.62"/>
    <n v="21"/>
    <n v="74"/>
    <x v="1"/>
    <x v="3"/>
  </r>
  <r>
    <s v="P1141"/>
    <x v="0"/>
    <x v="2"/>
    <x v="2"/>
    <x v="1"/>
    <n v="10"/>
    <n v="21143.75"/>
    <n v="2"/>
    <n v="42"/>
    <x v="0"/>
    <x v="0"/>
  </r>
  <r>
    <s v="P1142"/>
    <x v="4"/>
    <x v="2"/>
    <x v="4"/>
    <x v="2"/>
    <n v="37"/>
    <n v="58168.06"/>
    <n v="3"/>
    <n v="84"/>
    <x v="0"/>
    <x v="4"/>
  </r>
  <r>
    <s v="P1143"/>
    <x v="1"/>
    <x v="3"/>
    <x v="4"/>
    <x v="0"/>
    <n v="57"/>
    <n v="121600.57"/>
    <n v="19"/>
    <n v="94"/>
    <x v="1"/>
    <x v="1"/>
  </r>
  <r>
    <s v="P1144"/>
    <x v="3"/>
    <x v="1"/>
    <x v="3"/>
    <x v="1"/>
    <n v="26"/>
    <n v="60409.31"/>
    <n v="25"/>
    <n v="94"/>
    <x v="0"/>
    <x v="3"/>
  </r>
  <r>
    <s v="P1145"/>
    <x v="0"/>
    <x v="1"/>
    <x v="2"/>
    <x v="1"/>
    <n v="51"/>
    <n v="148766.01"/>
    <n v="21"/>
    <n v="76"/>
    <x v="1"/>
    <x v="1"/>
  </r>
  <r>
    <s v="P1146"/>
    <x v="0"/>
    <x v="2"/>
    <x v="3"/>
    <x v="1"/>
    <n v="1"/>
    <n v="46211.03"/>
    <n v="4"/>
    <n v="97"/>
    <x v="0"/>
    <x v="7"/>
  </r>
  <r>
    <s v="P1147"/>
    <x v="5"/>
    <x v="0"/>
    <x v="3"/>
    <x v="1"/>
    <n v="61"/>
    <n v="32781.94"/>
    <n v="1"/>
    <n v="83"/>
    <x v="0"/>
    <x v="5"/>
  </r>
  <r>
    <s v="P1148"/>
    <x v="5"/>
    <x v="1"/>
    <x v="1"/>
    <x v="2"/>
    <n v="34"/>
    <n v="139264.72"/>
    <n v="14"/>
    <n v="72"/>
    <x v="1"/>
    <x v="4"/>
  </r>
  <r>
    <s v="P1149"/>
    <x v="1"/>
    <x v="0"/>
    <x v="4"/>
    <x v="0"/>
    <n v="78"/>
    <n v="15165.98"/>
    <n v="25"/>
    <n v="86"/>
    <x v="0"/>
    <x v="2"/>
  </r>
  <r>
    <s v="P1150"/>
    <x v="0"/>
    <x v="2"/>
    <x v="1"/>
    <x v="1"/>
    <n v="73"/>
    <n v="133910.69"/>
    <n v="22"/>
    <n v="87"/>
    <x v="1"/>
    <x v="5"/>
  </r>
  <r>
    <s v="P1151"/>
    <x v="3"/>
    <x v="2"/>
    <x v="0"/>
    <x v="1"/>
    <n v="8"/>
    <n v="82835.539999999994"/>
    <n v="24"/>
    <n v="94"/>
    <x v="1"/>
    <x v="0"/>
  </r>
  <r>
    <s v="P1152"/>
    <x v="0"/>
    <x v="1"/>
    <x v="4"/>
    <x v="1"/>
    <n v="16"/>
    <n v="109945.06"/>
    <n v="23"/>
    <n v="76"/>
    <x v="1"/>
    <x v="6"/>
  </r>
  <r>
    <s v="P1153"/>
    <x v="0"/>
    <x v="1"/>
    <x v="3"/>
    <x v="2"/>
    <n v="3"/>
    <n v="40894.400000000001"/>
    <n v="20"/>
    <n v="46"/>
    <x v="0"/>
    <x v="7"/>
  </r>
  <r>
    <s v="P1154"/>
    <x v="0"/>
    <x v="1"/>
    <x v="3"/>
    <x v="2"/>
    <n v="28"/>
    <n v="5522.04"/>
    <n v="20"/>
    <n v="95"/>
    <x v="0"/>
    <x v="3"/>
  </r>
  <r>
    <s v="P1155"/>
    <x v="2"/>
    <x v="3"/>
    <x v="3"/>
    <x v="1"/>
    <n v="38"/>
    <n v="121567.96"/>
    <n v="26"/>
    <n v="65"/>
    <x v="1"/>
    <x v="4"/>
  </r>
  <r>
    <s v="P1156"/>
    <x v="0"/>
    <x v="3"/>
    <x v="4"/>
    <x v="0"/>
    <n v="2"/>
    <n v="14606.74"/>
    <n v="30"/>
    <n v="75"/>
    <x v="0"/>
    <x v="7"/>
  </r>
  <r>
    <s v="P1157"/>
    <x v="1"/>
    <x v="2"/>
    <x v="2"/>
    <x v="1"/>
    <n v="6"/>
    <n v="116568.72"/>
    <n v="24"/>
    <n v="65"/>
    <x v="1"/>
    <x v="0"/>
  </r>
  <r>
    <s v="P1158"/>
    <x v="3"/>
    <x v="1"/>
    <x v="4"/>
    <x v="1"/>
    <n v="33"/>
    <n v="70189.8"/>
    <n v="14"/>
    <n v="88"/>
    <x v="0"/>
    <x v="4"/>
  </r>
  <r>
    <s v="P1159"/>
    <x v="5"/>
    <x v="1"/>
    <x v="3"/>
    <x v="2"/>
    <n v="28"/>
    <n v="136392.39000000001"/>
    <n v="22"/>
    <n v="77"/>
    <x v="1"/>
    <x v="3"/>
  </r>
  <r>
    <s v="P1160"/>
    <x v="5"/>
    <x v="3"/>
    <x v="3"/>
    <x v="2"/>
    <n v="56"/>
    <n v="139281.34"/>
    <n v="24"/>
    <n v="96"/>
    <x v="1"/>
    <x v="1"/>
  </r>
  <r>
    <s v="P1161"/>
    <x v="1"/>
    <x v="0"/>
    <x v="3"/>
    <x v="1"/>
    <n v="80"/>
    <n v="140818.37"/>
    <n v="9"/>
    <n v="42"/>
    <x v="1"/>
    <x v="2"/>
  </r>
  <r>
    <s v="P1162"/>
    <x v="4"/>
    <x v="3"/>
    <x v="1"/>
    <x v="1"/>
    <n v="74"/>
    <n v="56018.43"/>
    <n v="7"/>
    <n v="77"/>
    <x v="0"/>
    <x v="5"/>
  </r>
  <r>
    <s v="P1163"/>
    <x v="2"/>
    <x v="3"/>
    <x v="4"/>
    <x v="2"/>
    <n v="72"/>
    <n v="144841.74"/>
    <n v="5"/>
    <n v="57"/>
    <x v="1"/>
    <x v="5"/>
  </r>
  <r>
    <s v="P1164"/>
    <x v="4"/>
    <x v="0"/>
    <x v="2"/>
    <x v="1"/>
    <n v="14"/>
    <n v="123398.79"/>
    <n v="21"/>
    <n v="77"/>
    <x v="1"/>
    <x v="6"/>
  </r>
  <r>
    <s v="P1165"/>
    <x v="1"/>
    <x v="3"/>
    <x v="4"/>
    <x v="1"/>
    <n v="48"/>
    <n v="10911.55"/>
    <n v="19"/>
    <n v="47"/>
    <x v="0"/>
    <x v="1"/>
  </r>
  <r>
    <s v="P1166"/>
    <x v="5"/>
    <x v="1"/>
    <x v="4"/>
    <x v="0"/>
    <n v="87"/>
    <n v="96532.96"/>
    <n v="7"/>
    <n v="93"/>
    <x v="1"/>
    <x v="2"/>
  </r>
  <r>
    <s v="P1167"/>
    <x v="1"/>
    <x v="3"/>
    <x v="4"/>
    <x v="2"/>
    <n v="49"/>
    <n v="126056.09"/>
    <n v="11"/>
    <n v="78"/>
    <x v="1"/>
    <x v="1"/>
  </r>
  <r>
    <s v="P1168"/>
    <x v="5"/>
    <x v="3"/>
    <x v="4"/>
    <x v="2"/>
    <n v="42"/>
    <n v="92788.13"/>
    <n v="4"/>
    <n v="41"/>
    <x v="1"/>
    <x v="4"/>
  </r>
  <r>
    <s v="P1169"/>
    <x v="1"/>
    <x v="0"/>
    <x v="3"/>
    <x v="1"/>
    <n v="36"/>
    <n v="24614.639999999999"/>
    <n v="30"/>
    <n v="57"/>
    <x v="0"/>
    <x v="4"/>
  </r>
  <r>
    <s v="P1170"/>
    <x v="4"/>
    <x v="0"/>
    <x v="0"/>
    <x v="2"/>
    <n v="56"/>
    <n v="36862.400000000001"/>
    <n v="28"/>
    <n v="66"/>
    <x v="0"/>
    <x v="1"/>
  </r>
  <r>
    <s v="P1171"/>
    <x v="0"/>
    <x v="1"/>
    <x v="0"/>
    <x v="1"/>
    <n v="39"/>
    <n v="84065.42"/>
    <n v="28"/>
    <n v="50"/>
    <x v="1"/>
    <x v="4"/>
  </r>
  <r>
    <s v="P1172"/>
    <x v="0"/>
    <x v="3"/>
    <x v="0"/>
    <x v="2"/>
    <n v="42"/>
    <n v="83047.11"/>
    <n v="13"/>
    <n v="50"/>
    <x v="1"/>
    <x v="4"/>
  </r>
  <r>
    <s v="P1173"/>
    <x v="0"/>
    <x v="0"/>
    <x v="3"/>
    <x v="2"/>
    <n v="59"/>
    <n v="96326.11"/>
    <n v="17"/>
    <n v="82"/>
    <x v="1"/>
    <x v="1"/>
  </r>
  <r>
    <s v="P1174"/>
    <x v="5"/>
    <x v="3"/>
    <x v="0"/>
    <x v="1"/>
    <n v="67"/>
    <n v="49487.73"/>
    <n v="27"/>
    <n v="72"/>
    <x v="0"/>
    <x v="5"/>
  </r>
  <r>
    <s v="P1175"/>
    <x v="0"/>
    <x v="3"/>
    <x v="1"/>
    <x v="1"/>
    <n v="11"/>
    <n v="18263.25"/>
    <n v="29"/>
    <n v="83"/>
    <x v="0"/>
    <x v="0"/>
  </r>
  <r>
    <s v="P1176"/>
    <x v="4"/>
    <x v="2"/>
    <x v="0"/>
    <x v="0"/>
    <n v="3"/>
    <n v="149013.84"/>
    <n v="26"/>
    <n v="93"/>
    <x v="1"/>
    <x v="7"/>
  </r>
  <r>
    <s v="P1177"/>
    <x v="2"/>
    <x v="1"/>
    <x v="3"/>
    <x v="2"/>
    <n v="69"/>
    <n v="46708.35"/>
    <n v="1"/>
    <n v="88"/>
    <x v="0"/>
    <x v="5"/>
  </r>
  <r>
    <s v="P1178"/>
    <x v="3"/>
    <x v="0"/>
    <x v="1"/>
    <x v="1"/>
    <n v="54"/>
    <n v="68133.7"/>
    <n v="9"/>
    <n v="60"/>
    <x v="0"/>
    <x v="1"/>
  </r>
  <r>
    <s v="P1179"/>
    <x v="5"/>
    <x v="2"/>
    <x v="0"/>
    <x v="1"/>
    <n v="82"/>
    <n v="19213.509999999998"/>
    <n v="26"/>
    <n v="96"/>
    <x v="0"/>
    <x v="2"/>
  </r>
  <r>
    <s v="P1180"/>
    <x v="3"/>
    <x v="3"/>
    <x v="3"/>
    <x v="1"/>
    <n v="60"/>
    <n v="22138.22"/>
    <n v="3"/>
    <n v="96"/>
    <x v="0"/>
    <x v="5"/>
  </r>
  <r>
    <s v="P1181"/>
    <x v="2"/>
    <x v="1"/>
    <x v="1"/>
    <x v="1"/>
    <n v="65"/>
    <n v="30460.26"/>
    <n v="21"/>
    <n v="63"/>
    <x v="0"/>
    <x v="5"/>
  </r>
  <r>
    <s v="P1182"/>
    <x v="1"/>
    <x v="2"/>
    <x v="2"/>
    <x v="1"/>
    <n v="5"/>
    <n v="52772.62"/>
    <n v="9"/>
    <n v="62"/>
    <x v="0"/>
    <x v="7"/>
  </r>
  <r>
    <s v="P1183"/>
    <x v="2"/>
    <x v="2"/>
    <x v="1"/>
    <x v="1"/>
    <n v="54"/>
    <n v="118241.71"/>
    <n v="24"/>
    <n v="81"/>
    <x v="1"/>
    <x v="1"/>
  </r>
  <r>
    <s v="P1184"/>
    <x v="0"/>
    <x v="1"/>
    <x v="4"/>
    <x v="1"/>
    <n v="64"/>
    <n v="19477.689999999999"/>
    <n v="6"/>
    <n v="65"/>
    <x v="0"/>
    <x v="5"/>
  </r>
  <r>
    <s v="P1185"/>
    <x v="5"/>
    <x v="2"/>
    <x v="2"/>
    <x v="0"/>
    <n v="77"/>
    <n v="114541.22"/>
    <n v="25"/>
    <n v="69"/>
    <x v="1"/>
    <x v="2"/>
  </r>
  <r>
    <s v="P1186"/>
    <x v="5"/>
    <x v="0"/>
    <x v="3"/>
    <x v="0"/>
    <n v="72"/>
    <n v="56437.97"/>
    <n v="21"/>
    <n v="78"/>
    <x v="0"/>
    <x v="5"/>
  </r>
  <r>
    <s v="P1187"/>
    <x v="4"/>
    <x v="1"/>
    <x v="1"/>
    <x v="1"/>
    <n v="86"/>
    <n v="53586.34"/>
    <n v="22"/>
    <n v="96"/>
    <x v="0"/>
    <x v="2"/>
  </r>
  <r>
    <s v="P1188"/>
    <x v="0"/>
    <x v="3"/>
    <x v="1"/>
    <x v="0"/>
    <n v="62"/>
    <n v="13836.03"/>
    <n v="15"/>
    <n v="60"/>
    <x v="0"/>
    <x v="5"/>
  </r>
  <r>
    <s v="P1189"/>
    <x v="1"/>
    <x v="2"/>
    <x v="2"/>
    <x v="1"/>
    <n v="38"/>
    <n v="54960.36"/>
    <n v="26"/>
    <n v="61"/>
    <x v="0"/>
    <x v="4"/>
  </r>
  <r>
    <s v="P1190"/>
    <x v="1"/>
    <x v="1"/>
    <x v="4"/>
    <x v="0"/>
    <n v="70"/>
    <n v="92629.07"/>
    <n v="11"/>
    <n v="96"/>
    <x v="1"/>
    <x v="5"/>
  </r>
  <r>
    <s v="P1191"/>
    <x v="3"/>
    <x v="3"/>
    <x v="4"/>
    <x v="2"/>
    <n v="52"/>
    <n v="69945.08"/>
    <n v="8"/>
    <n v="80"/>
    <x v="0"/>
    <x v="1"/>
  </r>
  <r>
    <s v="P1192"/>
    <x v="2"/>
    <x v="1"/>
    <x v="0"/>
    <x v="0"/>
    <n v="62"/>
    <n v="132120.79"/>
    <n v="25"/>
    <n v="81"/>
    <x v="1"/>
    <x v="5"/>
  </r>
  <r>
    <s v="P1193"/>
    <x v="2"/>
    <x v="1"/>
    <x v="3"/>
    <x v="1"/>
    <n v="22"/>
    <n v="132726.88"/>
    <n v="24"/>
    <n v="54"/>
    <x v="1"/>
    <x v="3"/>
  </r>
  <r>
    <s v="P1194"/>
    <x v="0"/>
    <x v="1"/>
    <x v="1"/>
    <x v="2"/>
    <n v="70"/>
    <n v="40806.769999999997"/>
    <n v="1"/>
    <n v="51"/>
    <x v="0"/>
    <x v="5"/>
  </r>
  <r>
    <s v="P1195"/>
    <x v="3"/>
    <x v="3"/>
    <x v="4"/>
    <x v="0"/>
    <n v="33"/>
    <n v="56926.38"/>
    <n v="11"/>
    <n v="81"/>
    <x v="0"/>
    <x v="4"/>
  </r>
  <r>
    <s v="P1196"/>
    <x v="2"/>
    <x v="1"/>
    <x v="4"/>
    <x v="2"/>
    <n v="1"/>
    <n v="87386.12"/>
    <n v="14"/>
    <n v="63"/>
    <x v="1"/>
    <x v="7"/>
  </r>
  <r>
    <s v="P1197"/>
    <x v="2"/>
    <x v="2"/>
    <x v="0"/>
    <x v="0"/>
    <n v="8"/>
    <n v="7805.22"/>
    <n v="13"/>
    <n v="91"/>
    <x v="0"/>
    <x v="0"/>
  </r>
  <r>
    <s v="P1198"/>
    <x v="2"/>
    <x v="0"/>
    <x v="1"/>
    <x v="1"/>
    <n v="90"/>
    <n v="64936.83"/>
    <n v="23"/>
    <n v="51"/>
    <x v="0"/>
    <x v="2"/>
  </r>
  <r>
    <s v="P1199"/>
    <x v="5"/>
    <x v="3"/>
    <x v="4"/>
    <x v="0"/>
    <n v="21"/>
    <n v="57025.03"/>
    <n v="18"/>
    <n v="50"/>
    <x v="0"/>
    <x v="3"/>
  </r>
  <r>
    <s v="P1200"/>
    <x v="5"/>
    <x v="3"/>
    <x v="2"/>
    <x v="0"/>
    <n v="39"/>
    <n v="145631.91"/>
    <n v="6"/>
    <n v="49"/>
    <x v="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322AA5-C38B-45FE-ACCA-4275937ADDC9}" name="PivotTable1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F8" firstHeaderRow="0" firstDataRow="1" firstDataCol="0"/>
  <pivotFields count="11">
    <pivotField dataField="1" showAll="0"/>
    <pivotField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showAll="0">
      <items count="4">
        <item x="0"/>
        <item x="1"/>
        <item x="2"/>
        <item t="default"/>
      </items>
    </pivotField>
    <pivotField dataField="1" showAll="0"/>
    <pivotField dataField="1" showAll="0"/>
    <pivotField dataField="1" showAll="0"/>
    <pivotField dataField="1" showAll="0"/>
    <pivotField showAll="0"/>
    <pivotField showAll="0"/>
  </pivotFields>
  <rowItems count="1">
    <i/>
  </rowItems>
  <colFields count="1">
    <field x="-2"/>
  </colFields>
  <colItems count="6">
    <i>
      <x/>
    </i>
    <i i="1">
      <x v="1"/>
    </i>
    <i i="2">
      <x v="2"/>
    </i>
    <i i="3">
      <x v="3"/>
    </i>
    <i i="4">
      <x v="4"/>
    </i>
    <i i="5">
      <x v="5"/>
    </i>
  </colItems>
  <dataFields count="6">
    <dataField name="Count of Patient ID" fld="0" subtotal="count" baseField="0" baseItem="0"/>
    <dataField name="Sum of Recovery Score" fld="8" baseField="0" baseItem="0"/>
    <dataField name="Average of Treatment Cost" fld="6" subtotal="average" baseField="0" baseItem="0" numFmtId="2"/>
    <dataField name="Average of Age" fld="5" subtotal="average" baseField="0" baseItem="0"/>
    <dataField name="Average of Hospital Stay (Days)" fld="7" subtotal="average" baseField="0" baseItem="3"/>
    <dataField name="Average of Recovery Score2" fld="8" subtotal="average" baseField="0" baseItem="5"/>
  </dataFields>
  <formats count="1">
    <format dxfId="1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C9F5D9-DA84-45BD-9B2F-1009A20DBC25}" name="PivotTable16" cacheId="6"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4" firstHeaderRow="0" firstDataRow="1" firstDataCol="0"/>
  <pivotFields count="11">
    <pivotField showAll="0"/>
    <pivotField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showAll="0">
      <items count="4">
        <item x="0"/>
        <item x="1"/>
        <item x="2"/>
        <item t="default"/>
      </items>
    </pivotField>
    <pivotField showAll="0"/>
    <pivotField showAll="0"/>
    <pivotField showAll="0"/>
    <pivotField dataField="1" showAll="0"/>
    <pivotField showAll="0"/>
    <pivotField showAll="0"/>
  </pivotFields>
  <rowItems count="1">
    <i/>
  </rowItems>
  <colFields count="1">
    <field x="-2"/>
  </colFields>
  <colItems count="2">
    <i>
      <x/>
    </i>
    <i i="1">
      <x v="1"/>
    </i>
  </colItems>
  <dataFields count="2">
    <dataField name="Sum of Recovery Score" fld="8" baseField="0" baseItem="0"/>
    <dataField name="Average of Recovery Score2" fld="8" subtotal="average" baseField="0" baseItem="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65D48C-EB85-4A2C-BC84-3EB2C26CB280}" name="PivotTable2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17:E22" firstHeaderRow="0" firstDataRow="1" firstDataCol="1"/>
  <pivotFields count="11">
    <pivotField showAll="0"/>
    <pivotField showAll="0"/>
    <pivotField axis="axisRow" showAll="0">
      <items count="5">
        <item x="1"/>
        <item x="2"/>
        <item x="3"/>
        <item x="0"/>
        <item t="default"/>
      </items>
    </pivotField>
    <pivotField showAll="0"/>
    <pivotField showAll="0">
      <items count="4">
        <item x="0"/>
        <item x="1"/>
        <item x="2"/>
        <item t="default"/>
      </items>
    </pivotField>
    <pivotField showAll="0"/>
    <pivotField showAll="0"/>
    <pivotField showAll="0"/>
    <pivotField dataField="1" showAll="0"/>
    <pivotField showAll="0"/>
    <pivotField showAll="0"/>
  </pivotFields>
  <rowFields count="1">
    <field x="2"/>
  </rowFields>
  <rowItems count="5">
    <i>
      <x/>
    </i>
    <i>
      <x v="1"/>
    </i>
    <i>
      <x v="2"/>
    </i>
    <i>
      <x v="3"/>
    </i>
    <i t="grand">
      <x/>
    </i>
  </rowItems>
  <colFields count="1">
    <field x="-2"/>
  </colFields>
  <colItems count="3">
    <i>
      <x/>
    </i>
    <i i="1">
      <x v="1"/>
    </i>
    <i i="2">
      <x v="2"/>
    </i>
  </colItems>
  <dataFields count="3">
    <dataField name="Average of Recovery Score" fld="8" subtotal="average" baseField="0" baseItem="0"/>
    <dataField name="Min of Recovery Score" fld="8" subtotal="min" baseField="0" baseItem="0"/>
    <dataField name="StdDev Recovery Score" fld="8" subtotal="stdDev" baseField="2"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D94155-3874-427A-BFE0-662611E34BB0}" name="PivotTable1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rdiology">
  <location ref="A3:D10" firstHeaderRow="0" firstDataRow="1" firstDataCol="1"/>
  <pivotFields count="11">
    <pivotField showAll="0"/>
    <pivotField axis="axisRow"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showAll="0">
      <items count="4">
        <item x="0"/>
        <item x="1"/>
        <item x="2"/>
        <item t="default"/>
      </items>
    </pivotField>
    <pivotField showAll="0"/>
    <pivotField showAll="0"/>
    <pivotField showAll="0"/>
    <pivotField dataField="1" showAll="0"/>
    <pivotField showAll="0"/>
    <pivotField showAll="0"/>
  </pivotFields>
  <rowFields count="1">
    <field x="1"/>
  </rowFields>
  <rowItems count="7">
    <i>
      <x/>
    </i>
    <i>
      <x v="1"/>
    </i>
    <i>
      <x v="2"/>
    </i>
    <i>
      <x v="3"/>
    </i>
    <i>
      <x v="4"/>
    </i>
    <i>
      <x v="5"/>
    </i>
    <i t="grand">
      <x/>
    </i>
  </rowItems>
  <colFields count="1">
    <field x="-2"/>
  </colFields>
  <colItems count="3">
    <i>
      <x/>
    </i>
    <i i="1">
      <x v="1"/>
    </i>
    <i i="2">
      <x v="2"/>
    </i>
  </colItems>
  <dataFields count="3">
    <dataField name="Average of Recovery Score" fld="8" subtotal="average" baseField="0" baseItem="0"/>
    <dataField name="Min of Recovery Score" fld="8" subtotal="min" baseField="0" baseItem="0"/>
    <dataField name="StdDev Recovery Score" fld="8" subtotal="stdDev" baseField="1"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8D28E3-2C31-4E99-B341-5C4EE88B330A}" name="PivotTable2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5:C64" firstHeaderRow="1" firstDataRow="1" firstDataCol="1"/>
  <pivotFields count="11">
    <pivotField showAll="0"/>
    <pivotField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showAll="0">
      <items count="4">
        <item x="0"/>
        <item x="1"/>
        <item x="2"/>
        <item t="default"/>
      </items>
    </pivotField>
    <pivotField showAll="0"/>
    <pivotField showAll="0"/>
    <pivotField showAll="0"/>
    <pivotField dataField="1" showAll="0"/>
    <pivotField showAll="0"/>
    <pivotField axis="axisRow" showAll="0">
      <items count="9">
        <item x="4"/>
        <item x="0"/>
        <item x="2"/>
        <item x="7"/>
        <item x="1"/>
        <item x="5"/>
        <item x="6"/>
        <item x="3"/>
        <item t="default"/>
      </items>
    </pivotField>
  </pivotFields>
  <rowFields count="1">
    <field x="10"/>
  </rowFields>
  <rowItems count="9">
    <i>
      <x/>
    </i>
    <i>
      <x v="1"/>
    </i>
    <i>
      <x v="2"/>
    </i>
    <i>
      <x v="3"/>
    </i>
    <i>
      <x v="4"/>
    </i>
    <i>
      <x v="5"/>
    </i>
    <i>
      <x v="6"/>
    </i>
    <i>
      <x v="7"/>
    </i>
    <i t="grand">
      <x/>
    </i>
  </rowItems>
  <colItems count="1">
    <i/>
  </colItems>
  <dataFields count="1">
    <dataField name="Average of Recovery Score" fld="8" subtotal="average" baseField="0" baseItem="0"/>
  </dataFields>
  <formats count="1">
    <format dxfId="8">
      <pivotArea collapsedLevelsAreSubtotals="1" fieldPosition="0">
        <references count="1">
          <reference field="1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97402B-074D-48CA-A2DE-2F374992A6D0}" name="PivotTable2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48:C51" firstHeaderRow="1" firstDataRow="1" firstDataCol="1"/>
  <pivotFields count="11">
    <pivotField showAll="0"/>
    <pivotField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showAll="0">
      <items count="4">
        <item x="0"/>
        <item x="1"/>
        <item x="2"/>
        <item t="default"/>
      </items>
    </pivotField>
    <pivotField showAll="0"/>
    <pivotField showAll="0"/>
    <pivotField showAll="0"/>
    <pivotField dataField="1" showAll="0"/>
    <pivotField axis="axisRow" showAll="0">
      <items count="3">
        <item x="1"/>
        <item x="0"/>
        <item t="default"/>
      </items>
    </pivotField>
    <pivotField showAll="0"/>
  </pivotFields>
  <rowFields count="1">
    <field x="9"/>
  </rowFields>
  <rowItems count="3">
    <i>
      <x/>
    </i>
    <i>
      <x v="1"/>
    </i>
    <i t="grand">
      <x/>
    </i>
  </rowItems>
  <colItems count="1">
    <i/>
  </colItems>
  <dataFields count="1">
    <dataField name="Average of Recovery Score" fld="8" subtotal="average" baseField="0" baseItem="0"/>
  </dataFields>
  <formats count="1">
    <format dxfId="9">
      <pivotArea collapsedLevelsAreSubtotals="1" fieldPosition="0">
        <references count="1">
          <reference field="9" count="0"/>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 chart="0" format="2">
      <pivotArea type="data" outline="0" fieldPosition="0">
        <references count="2">
          <reference field="4294967294" count="1" selected="0">
            <x v="0"/>
          </reference>
          <reference field="9"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9" count="1" selected="0">
            <x v="0"/>
          </reference>
        </references>
      </pivotArea>
    </chartFormat>
    <chartFormat chart="3" format="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BFE16F-BB7F-4914-B5F5-43935E903CBB}" name="PivotTable2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41:C45" firstHeaderRow="1" firstDataRow="1" firstDataCol="1"/>
  <pivotFields count="11">
    <pivotField showAll="0"/>
    <pivotField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axis="axisRow" showAll="0">
      <items count="4">
        <item x="0"/>
        <item x="1"/>
        <item x="2"/>
        <item t="default"/>
      </items>
    </pivotField>
    <pivotField showAll="0"/>
    <pivotField showAll="0"/>
    <pivotField showAll="0"/>
    <pivotField dataField="1" showAll="0"/>
    <pivotField showAll="0"/>
    <pivotField showAll="0"/>
  </pivotFields>
  <rowFields count="1">
    <field x="4"/>
  </rowFields>
  <rowItems count="4">
    <i>
      <x/>
    </i>
    <i>
      <x v="1"/>
    </i>
    <i>
      <x v="2"/>
    </i>
    <i t="grand">
      <x/>
    </i>
  </rowItems>
  <colItems count="1">
    <i/>
  </colItems>
  <dataFields count="1">
    <dataField name="Average of Recovery Score" fld="8" subtotal="average" baseField="0" baseItem="0"/>
  </dataFields>
  <chartFormats count="8">
    <chartFormat chart="0" format="4"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4" count="1" selected="0">
            <x v="0"/>
          </reference>
        </references>
      </pivotArea>
    </chartFormat>
    <chartFormat chart="0" format="6">
      <pivotArea type="data" outline="0" fieldPosition="0">
        <references count="2">
          <reference field="4294967294" count="1" selected="0">
            <x v="0"/>
          </reference>
          <reference field="4" count="1" selected="0">
            <x v="2"/>
          </reference>
        </references>
      </pivotArea>
    </chartFormat>
    <chartFormat chart="0" format="7">
      <pivotArea type="data" outline="0" fieldPosition="0">
        <references count="2">
          <reference field="4294967294" count="1" selected="0">
            <x v="0"/>
          </reference>
          <reference field="4" count="1" selected="0">
            <x v="1"/>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4" count="1" selected="0">
            <x v="0"/>
          </reference>
        </references>
      </pivotArea>
    </chartFormat>
    <chartFormat chart="6" format="14">
      <pivotArea type="data" outline="0" fieldPosition="0">
        <references count="2">
          <reference field="4294967294" count="1" selected="0">
            <x v="0"/>
          </reference>
          <reference field="4" count="1" selected="0">
            <x v="1"/>
          </reference>
        </references>
      </pivotArea>
    </chartFormat>
    <chartFormat chart="6" format="15">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1F3F95-DF6C-4052-9A22-F8FEE1541A3C}" name="PivotTable2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I3:J8" firstHeaderRow="1" firstDataRow="1" firstDataCol="1"/>
  <pivotFields count="11">
    <pivotField showAll="0"/>
    <pivotField showAll="0">
      <items count="7">
        <item x="3"/>
        <item x="0"/>
        <item x="4"/>
        <item x="5"/>
        <item x="2"/>
        <item x="1"/>
        <item t="default"/>
      </items>
    </pivotField>
    <pivotField axis="axisRow" showAll="0">
      <items count="5">
        <item x="1"/>
        <item x="2"/>
        <item x="3"/>
        <item x="0"/>
        <item t="default"/>
      </items>
    </pivotField>
    <pivotField showAll="0" sortType="descending">
      <items count="6">
        <item x="2"/>
        <item x="4"/>
        <item x="1"/>
        <item x="0"/>
        <item x="3"/>
        <item t="default"/>
      </items>
    </pivotField>
    <pivotField showAll="0">
      <items count="4">
        <item x="0"/>
        <item x="1"/>
        <item x="2"/>
        <item t="default"/>
      </items>
    </pivotField>
    <pivotField showAll="0"/>
    <pivotField showAll="0"/>
    <pivotField showAll="0"/>
    <pivotField dataField="1" showAll="0"/>
    <pivotField showAll="0"/>
    <pivotField showAll="0"/>
  </pivotFields>
  <rowFields count="1">
    <field x="2"/>
  </rowFields>
  <rowItems count="5">
    <i>
      <x/>
    </i>
    <i>
      <x v="1"/>
    </i>
    <i>
      <x v="2"/>
    </i>
    <i>
      <x v="3"/>
    </i>
    <i t="grand">
      <x/>
    </i>
  </rowItems>
  <colItems count="1">
    <i/>
  </colItems>
  <dataFields count="1">
    <dataField name="Average of Recovery Score" fld="8" subtotal="average" baseField="0" baseItem="0"/>
  </dataFields>
  <chartFormats count="5">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B242F2-40B0-4141-9190-E655AC7F7AAC}" name="PivotTable1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F3:G9" firstHeaderRow="1" firstDataRow="1" firstDataCol="1"/>
  <pivotFields count="11">
    <pivotField showAll="0"/>
    <pivotField showAll="0"/>
    <pivotField showAll="0"/>
    <pivotField axis="axisRow" showAll="0" sortType="descending">
      <items count="6">
        <item x="2"/>
        <item x="4"/>
        <item x="1"/>
        <item x="0"/>
        <item x="3"/>
        <item t="default"/>
      </items>
    </pivotField>
    <pivotField showAll="0">
      <items count="4">
        <item x="0"/>
        <item x="1"/>
        <item x="2"/>
        <item t="default"/>
      </items>
    </pivotField>
    <pivotField showAll="0"/>
    <pivotField showAll="0"/>
    <pivotField showAll="0"/>
    <pivotField dataField="1" showAll="0"/>
    <pivotField showAll="0"/>
    <pivotField showAll="0"/>
  </pivotFields>
  <rowFields count="1">
    <field x="3"/>
  </rowFields>
  <rowItems count="6">
    <i>
      <x/>
    </i>
    <i>
      <x v="1"/>
    </i>
    <i>
      <x v="2"/>
    </i>
    <i>
      <x v="3"/>
    </i>
    <i>
      <x v="4"/>
    </i>
    <i t="grand">
      <x/>
    </i>
  </rowItems>
  <colItems count="1">
    <i/>
  </colItems>
  <dataFields count="1">
    <dataField name="Average of Recovery Score" fld="8" subtotal="average" baseField="0" baseItem="0"/>
  </dataFields>
  <chartFormats count="4">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5968844-A0FD-4954-9721-166469F87AF6}" sourceName="Department">
  <pivotTables>
    <pivotTable tabId="2" name="PivotTable16"/>
    <pivotTable tabId="2" name="PivotTable17"/>
    <pivotTable tabId="4" name="PivotTable18"/>
    <pivotTable tabId="4" name="PivotTable26"/>
    <pivotTable tabId="4" name="PivotTable20"/>
    <pivotTable tabId="4" name="PivotTable28"/>
    <pivotTable tabId="4" name="PivotTable29"/>
  </pivotTables>
  <data>
    <tabular pivotCacheId="1160376350">
      <items count="6">
        <i x="3" s="1"/>
        <i x="0" s="1"/>
        <i x="4" s="1"/>
        <i x="5"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Type" xr10:uid="{57CB733D-5BAD-4088-818E-15D21BA3593F}" sourceName="Treatment Type">
  <pivotTables>
    <pivotTable tabId="2" name="PivotTable16"/>
    <pivotTable tabId="2" name="PivotTable17"/>
    <pivotTable tabId="4" name="PivotTable18"/>
    <pivotTable tabId="4" name="PivotTable26"/>
    <pivotTable tabId="4" name="PivotTable20"/>
    <pivotTable tabId="4" name="PivotTable28"/>
    <pivotTable tabId="4" name="PivotTable29"/>
  </pivotTables>
  <data>
    <tabular pivotCacheId="1160376350">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_Name" xr10:uid="{33DF17A1-C498-4472-B1C9-67AC5BECEF12}" sourceName="Doctor Name">
  <pivotTables>
    <pivotTable tabId="2" name="PivotTable16"/>
    <pivotTable tabId="2" name="PivotTable17"/>
    <pivotTable tabId="4" name="PivotTable18"/>
    <pivotTable tabId="4" name="PivotTable26"/>
    <pivotTable tabId="4" name="PivotTable20"/>
    <pivotTable tabId="4" name="PivotTable28"/>
    <pivotTable tabId="4" name="PivotTable29"/>
  </pivotTables>
  <data>
    <tabular pivotCacheId="1160376350">
      <items count="5">
        <i x="3" s="1"/>
        <i x="0" s="1"/>
        <i x="1"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C0DDD437-E491-46FA-9809-8FABB81E7B2A}" sourceName="Gender">
  <pivotTables>
    <pivotTable tabId="2" name="PivotTable25"/>
    <pivotTable tabId="2" name="PivotTable17"/>
    <pivotTable tabId="2" name="PivotTable16"/>
    <pivotTable tabId="4" name="PivotTable18"/>
    <pivotTable tabId="4" name="PivotTable19"/>
    <pivotTable tabId="4" name="PivotTable20"/>
    <pivotTable tabId="4" name="PivotTable26"/>
    <pivotTable tabId="4" name="PivotTable28"/>
    <pivotTable tabId="4" name="PivotTable29"/>
  </pivotTables>
  <data>
    <tabular pivotCacheId="116037635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CE549CA-489B-4B9C-89B0-964C57BBD781}" cache="Slicer_Department" caption="Department" rowHeight="247650"/>
  <slicer name="Treatment Type" xr10:uid="{C3CCD474-4993-4F15-B7E1-F38E0A5B352C}" cache="Slicer_Treatment_Type" caption="Treatment Type" rowHeight="247650"/>
  <slicer name="Doctor Name" xr10:uid="{C461ED55-A7A8-464E-8608-89F9129F1FC4}" cache="Slicer_Doctor_Name" caption="Doctor Name" rowHeight="247650"/>
  <slicer name="Gender" xr10:uid="{12293823-72FD-4884-96B7-CBE777A33E10}" cache="Slicer_Gender2" caption="Gende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A9AE29D3-C505-4CAD-923E-DD20B74A2FC3}" cache="Slicer_Department" caption="Department" style="SlicerStyleOther2" rowHeight="247650"/>
  <slicer name="Treatment Type 1" xr10:uid="{8F8ECA5D-2F76-4B74-847A-A5A8289128B4}" cache="Slicer_Treatment_Type" caption="Treatment Type" style="SlicerStyleOther2" rowHeight="247650"/>
  <slicer name="Doctor Name 1" xr10:uid="{9DEB2C1A-85D4-43AF-AAEF-163C99606606}" cache="Slicer_Doctor_Name" caption="Doctor Name" style="SlicerStyleOther2" rowHeight="247650"/>
  <slicer name="Gender 1" xr10:uid="{F2864EAC-FE29-47E3-8549-B8B1F2EBBC48}" cache="Slicer_Gender2" caption="Gender" style="SlicerStyleOther2"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BE187268-1128-474B-A5C4-CFE589BB2C85}" cache="Slicer_Department" caption="Department" rowHeight="247650"/>
  <slicer name="Treatment Type 2" xr10:uid="{303448DF-3423-4E16-BF31-53C6EAAFDC79}" cache="Slicer_Treatment_Type" caption="Treatment Type" rowHeight="247650"/>
  <slicer name="Doctor Name 2" xr10:uid="{B8E1F5AB-BA5F-42DB-9C43-221CA2046EB1}" cache="Slicer_Doctor_Name" caption="Doctor Name" rowHeight="247650"/>
  <slicer name="Gender 2" xr10:uid="{30320E84-2699-4A55-8738-F8D01C7CDAC7}" cache="Slicer_Gender2" caption="Gend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5CDF01-53D9-4E79-8B48-A705AEEA7156}" name="Table2" displayName="Table2" ref="A3:I41" totalsRowShown="0">
  <autoFilter ref="A3:I41" xr:uid="{BC5CDF01-53D9-4E79-8B48-A705AEEA7156}"/>
  <tableColumns count="9">
    <tableColumn id="1" xr3:uid="{D9CB2BAC-A506-4A54-993F-4683222047A4}" name="Patient ID"/>
    <tableColumn id="2" xr3:uid="{977C4F54-80E6-41C5-8705-AC8FE3AEDB25}" name="Department"/>
    <tableColumn id="3" xr3:uid="{1B03613F-010F-4395-9DAE-B07DF471B2E4}" name="Treatment Type"/>
    <tableColumn id="4" xr3:uid="{C4E62A68-1546-4A1B-878C-A30D3863B47A}" name="Doctor Name"/>
    <tableColumn id="5" xr3:uid="{EA4AB22E-F8A4-42C1-8E09-808624EF610B}" name="Gender"/>
    <tableColumn id="6" xr3:uid="{AFCFA800-53E1-494E-8ABA-90096F2ECDF9}" name="Age"/>
    <tableColumn id="7" xr3:uid="{B5EFF5F1-8B67-45C1-9607-8077E5566DB3}" name="Treatment Cost"/>
    <tableColumn id="8" xr3:uid="{F9D9DB69-FF77-445B-8ACD-7EF0EF0473FB}" name="Hospital Stay (Days)"/>
    <tableColumn id="9" xr3:uid="{742A1166-D382-497C-9ABC-3A78203072EB}" name="Recovery Sco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C94187-8CC0-4EB6-A8EA-09391546F289}" name="Table1" displayName="Table1" ref="A1:K201" totalsRowShown="0">
  <autoFilter ref="A1:K201" xr:uid="{6CAC7619-D329-4159-A2EB-9193E01A8B8B}"/>
  <tableColumns count="11">
    <tableColumn id="1" xr3:uid="{1ADD75FA-9372-4F03-8A77-A30A59F46F44}" name="Patient ID"/>
    <tableColumn id="2" xr3:uid="{465DD03E-ECA1-4AAF-A8D2-DDBB88DB7B98}" name="Department"/>
    <tableColumn id="3" xr3:uid="{2FB5A42E-ECD3-4F5C-AB9C-FCF3F5949BFE}" name="Treatment Type"/>
    <tableColumn id="4" xr3:uid="{B2ECB650-577D-44B7-BA46-9099C128EF90}" name="Doctor Name"/>
    <tableColumn id="5" xr3:uid="{F268C2AB-7DB6-4C7A-90DF-9F68C1E6646C}" name="Gender"/>
    <tableColumn id="6" xr3:uid="{981E4E2E-660A-41ED-B30D-467E3ACDA2F4}" name="Age"/>
    <tableColumn id="7" xr3:uid="{9445AB63-468D-4CB9-9491-8C2219FF5002}" name="Treatment Cost"/>
    <tableColumn id="8" xr3:uid="{D8A650D0-FA44-4FA3-9A77-69A172546E0D}" name="Hospital Stay (Days)"/>
    <tableColumn id="9" xr3:uid="{68762279-8330-4D73-91B8-25A95B7C7A26}" name="Recovery Score"/>
    <tableColumn id="10" xr3:uid="{D9D67AD7-3909-4E9F-A715-AA7BF0338853}" name="Cost Category" dataDxfId="7">
      <calculatedColumnFormula>IF(G2&gt;75000,"High Cost", "Low  Cost")</calculatedColumnFormula>
    </tableColumn>
    <tableColumn id="11" xr3:uid="{BA4BC715-A82C-4161-9917-51F575CE2C19}" name="Age Group" dataDxfId="6">
      <calculatedColumnFormula>IF(F2&lt;=5, "Infant/Toddler",
IF(F2&lt;=12,"Child",
IF(F2&lt;=19,"Teenager",
IF(F2&lt;=29,"Young Adult",
IF(F2&lt;=44,"Adult",
IF(F2&lt;=59,"Middle-aged",
IF(F2&lt;=74,"Senior","Elderly")))))))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microsoft.com/office/2007/relationships/slicer" Target="../slicers/slicer3.xml"/><Relationship Id="rId3" Type="http://schemas.openxmlformats.org/officeDocument/2006/relationships/pivotTable" Target="../pivotTables/pivotTable6.xml"/><Relationship Id="rId7"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BE38B-7EBB-4F2F-95D1-42BB17EB39B4}">
  <dimension ref="A3:F22"/>
  <sheetViews>
    <sheetView topLeftCell="A4" workbookViewId="0">
      <selection activeCell="O24" sqref="O24"/>
    </sheetView>
  </sheetViews>
  <sheetFormatPr defaultRowHeight="14.4" x14ac:dyDescent="0.3"/>
  <cols>
    <col min="1" max="1" width="16.33203125" bestFit="1" customWidth="1"/>
    <col min="2" max="2" width="19.88671875" bestFit="1" customWidth="1"/>
    <col min="3" max="3" width="22.77734375" bestFit="1" customWidth="1"/>
    <col min="4" max="4" width="12.77734375" bestFit="1" customWidth="1"/>
    <col min="5" max="5" width="27" bestFit="1" customWidth="1"/>
    <col min="6" max="6" width="23.77734375" bestFit="1" customWidth="1"/>
  </cols>
  <sheetData>
    <row r="3" spans="1:6" x14ac:dyDescent="0.3">
      <c r="A3" t="s">
        <v>233</v>
      </c>
      <c r="B3" t="s">
        <v>234</v>
      </c>
    </row>
    <row r="4" spans="1:6" x14ac:dyDescent="0.3">
      <c r="A4" s="11">
        <v>14075</v>
      </c>
      <c r="B4" s="11">
        <v>70.375</v>
      </c>
    </row>
    <row r="7" spans="1:6" x14ac:dyDescent="0.3">
      <c r="A7" t="s">
        <v>229</v>
      </c>
      <c r="B7" t="s">
        <v>233</v>
      </c>
      <c r="C7" t="s">
        <v>230</v>
      </c>
      <c r="D7" t="s">
        <v>231</v>
      </c>
      <c r="E7" t="s">
        <v>232</v>
      </c>
      <c r="F7" t="s">
        <v>234</v>
      </c>
    </row>
    <row r="8" spans="1:6" x14ac:dyDescent="0.3">
      <c r="A8" s="11">
        <v>200</v>
      </c>
      <c r="B8" s="11">
        <v>14075</v>
      </c>
      <c r="C8" s="9">
        <v>79698.513500000015</v>
      </c>
      <c r="D8" s="11">
        <v>41.71</v>
      </c>
      <c r="E8" s="11">
        <v>16.015000000000001</v>
      </c>
      <c r="F8" s="11">
        <v>70.375</v>
      </c>
    </row>
    <row r="11" spans="1:6" x14ac:dyDescent="0.3">
      <c r="B11" s="3" t="s">
        <v>233</v>
      </c>
      <c r="C11" s="3" t="s">
        <v>230</v>
      </c>
      <c r="D11" s="3" t="s">
        <v>231</v>
      </c>
      <c r="E11" s="3" t="s">
        <v>232</v>
      </c>
      <c r="F11" s="3" t="s">
        <v>234</v>
      </c>
    </row>
    <row r="12" spans="1:6" x14ac:dyDescent="0.3">
      <c r="B12">
        <v>11072</v>
      </c>
      <c r="C12" s="9">
        <v>82004.343207547223</v>
      </c>
      <c r="D12">
        <v>40.981132075471699</v>
      </c>
      <c r="E12">
        <v>16.339622641509433</v>
      </c>
      <c r="F12">
        <v>69.635220125786162</v>
      </c>
    </row>
    <row r="17" spans="2:5" x14ac:dyDescent="0.3">
      <c r="B17" s="1" t="s">
        <v>227</v>
      </c>
      <c r="C17" t="s">
        <v>236</v>
      </c>
      <c r="D17" t="s">
        <v>237</v>
      </c>
      <c r="E17" t="s">
        <v>238</v>
      </c>
    </row>
    <row r="18" spans="2:5" x14ac:dyDescent="0.3">
      <c r="B18" s="2" t="s">
        <v>16</v>
      </c>
      <c r="C18">
        <v>67.581818181818178</v>
      </c>
      <c r="D18">
        <v>40</v>
      </c>
      <c r="E18">
        <v>17.727036172124521</v>
      </c>
    </row>
    <row r="19" spans="2:5" x14ac:dyDescent="0.3">
      <c r="B19" s="2" t="s">
        <v>28</v>
      </c>
      <c r="C19">
        <v>70.021276595744681</v>
      </c>
      <c r="D19">
        <v>40</v>
      </c>
      <c r="E19">
        <v>18.283384428517664</v>
      </c>
    </row>
    <row r="20" spans="2:5" x14ac:dyDescent="0.3">
      <c r="B20" s="2" t="s">
        <v>41</v>
      </c>
      <c r="C20">
        <v>73.291666666666671</v>
      </c>
      <c r="D20">
        <v>41</v>
      </c>
      <c r="E20">
        <v>17.577740194763653</v>
      </c>
    </row>
    <row r="21" spans="2:5" x14ac:dyDescent="0.3">
      <c r="B21" s="2" t="s">
        <v>11</v>
      </c>
      <c r="C21">
        <v>70.98</v>
      </c>
      <c r="D21">
        <v>40</v>
      </c>
      <c r="E21">
        <v>17.379896902068516</v>
      </c>
    </row>
    <row r="22" spans="2:5" x14ac:dyDescent="0.3">
      <c r="B22" s="2" t="s">
        <v>228</v>
      </c>
      <c r="C22">
        <v>70.375</v>
      </c>
      <c r="D22">
        <v>40</v>
      </c>
      <c r="E22">
        <v>17.726406926181141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F3588-C5B6-4B14-9DA9-CA9F1F7CC527}">
  <dimension ref="C2:T5"/>
  <sheetViews>
    <sheetView showGridLines="0" showRowColHeaders="0" tabSelected="1" zoomScale="73" workbookViewId="0">
      <selection activeCell="K39" sqref="K39"/>
    </sheetView>
  </sheetViews>
  <sheetFormatPr defaultRowHeight="14.4" x14ac:dyDescent="0.3"/>
  <sheetData>
    <row r="2" spans="3:20" ht="25.8" x14ac:dyDescent="0.5">
      <c r="C2" s="5" t="s">
        <v>253</v>
      </c>
      <c r="D2" s="5"/>
      <c r="F2" s="5"/>
      <c r="G2" s="5"/>
      <c r="H2" s="4"/>
      <c r="I2" s="4"/>
      <c r="J2" s="6"/>
      <c r="K2" s="4"/>
      <c r="L2" s="4"/>
      <c r="M2" s="4"/>
      <c r="N2" s="4"/>
      <c r="O2" s="4"/>
      <c r="P2" s="4"/>
      <c r="R2" s="4"/>
      <c r="S2" s="4"/>
      <c r="T2" s="4"/>
    </row>
    <row r="3" spans="3:20" x14ac:dyDescent="0.3">
      <c r="G3" s="7" t="s">
        <v>235</v>
      </c>
      <c r="H3" s="4"/>
      <c r="I3" s="4"/>
      <c r="J3" s="4"/>
      <c r="K3" s="4"/>
      <c r="L3" s="4"/>
      <c r="M3" s="4"/>
      <c r="N3" s="4"/>
      <c r="O3" s="4"/>
      <c r="P3" s="4"/>
      <c r="Q3" s="4"/>
      <c r="R3" s="4"/>
      <c r="S3" s="4"/>
      <c r="T3" s="4"/>
    </row>
    <row r="4" spans="3:20" x14ac:dyDescent="0.3">
      <c r="E4" s="4"/>
      <c r="F4" s="4"/>
      <c r="G4" s="4"/>
      <c r="H4" s="4"/>
      <c r="I4" s="4"/>
      <c r="J4" s="4"/>
      <c r="K4" s="4"/>
      <c r="L4" s="4"/>
      <c r="M4" s="4"/>
      <c r="N4" s="4"/>
      <c r="O4" s="4"/>
      <c r="P4" s="4"/>
      <c r="Q4" s="4"/>
      <c r="R4" s="4"/>
      <c r="S4" s="4"/>
      <c r="T4" s="4"/>
    </row>
    <row r="5" spans="3:20" x14ac:dyDescent="0.3">
      <c r="E5" s="4"/>
      <c r="F5" s="4"/>
      <c r="G5" s="4"/>
      <c r="H5" s="4"/>
      <c r="I5" s="4"/>
      <c r="J5" s="4"/>
      <c r="K5" s="4"/>
      <c r="L5" s="4"/>
      <c r="M5" s="4"/>
      <c r="N5" s="4"/>
      <c r="O5" s="4"/>
      <c r="P5" s="4"/>
      <c r="Q5" s="4"/>
      <c r="R5" s="4"/>
      <c r="S5" s="4"/>
      <c r="T5" s="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2CC54-C0E3-4E32-9F97-F29814862C90}">
  <dimension ref="A1:I41"/>
  <sheetViews>
    <sheetView workbookViewId="0">
      <selection activeCell="J1" sqref="J1:J1048576"/>
    </sheetView>
  </sheetViews>
  <sheetFormatPr defaultRowHeight="14.4" x14ac:dyDescent="0.3"/>
  <cols>
    <col min="1" max="1" width="11.33203125" bestFit="1" customWidth="1"/>
    <col min="2" max="2" width="13.21875" bestFit="1" customWidth="1"/>
    <col min="3" max="3" width="16.109375" bestFit="1" customWidth="1"/>
    <col min="4" max="4" width="14.109375" bestFit="1" customWidth="1"/>
    <col min="5" max="5" width="9.33203125" bestFit="1" customWidth="1"/>
    <col min="6" max="6" width="9" bestFit="1" customWidth="1"/>
    <col min="7" max="7" width="16" bestFit="1" customWidth="1"/>
    <col min="8" max="8" width="20.21875" bestFit="1" customWidth="1"/>
    <col min="9" max="9" width="16" bestFit="1" customWidth="1"/>
  </cols>
  <sheetData>
    <row r="1" spans="1:9" x14ac:dyDescent="0.3">
      <c r="A1" s="8" t="s">
        <v>239</v>
      </c>
    </row>
    <row r="3" spans="1:9" x14ac:dyDescent="0.3">
      <c r="A3" t="s">
        <v>0</v>
      </c>
      <c r="B3" t="s">
        <v>1</v>
      </c>
      <c r="C3" t="s">
        <v>2</v>
      </c>
      <c r="D3" t="s">
        <v>3</v>
      </c>
      <c r="E3" t="s">
        <v>4</v>
      </c>
      <c r="F3" t="s">
        <v>5</v>
      </c>
      <c r="G3" t="s">
        <v>6</v>
      </c>
      <c r="H3" t="s">
        <v>7</v>
      </c>
      <c r="I3" t="s">
        <v>8</v>
      </c>
    </row>
    <row r="4" spans="1:9" x14ac:dyDescent="0.3">
      <c r="A4" t="s">
        <v>216</v>
      </c>
      <c r="B4" t="s">
        <v>15</v>
      </c>
      <c r="C4" t="s">
        <v>16</v>
      </c>
      <c r="D4" t="s">
        <v>32</v>
      </c>
      <c r="E4" t="s">
        <v>13</v>
      </c>
      <c r="F4">
        <v>70</v>
      </c>
      <c r="G4">
        <v>92629.07</v>
      </c>
      <c r="H4">
        <v>11</v>
      </c>
      <c r="I4">
        <v>96</v>
      </c>
    </row>
    <row r="5" spans="1:9" x14ac:dyDescent="0.3">
      <c r="A5" t="s">
        <v>14</v>
      </c>
      <c r="B5" t="s">
        <v>15</v>
      </c>
      <c r="C5" t="s">
        <v>16</v>
      </c>
      <c r="D5" t="s">
        <v>17</v>
      </c>
      <c r="E5" t="s">
        <v>18</v>
      </c>
      <c r="F5">
        <v>52</v>
      </c>
      <c r="G5">
        <v>10231.42</v>
      </c>
      <c r="H5">
        <v>20</v>
      </c>
      <c r="I5">
        <v>42</v>
      </c>
    </row>
    <row r="6" spans="1:9" x14ac:dyDescent="0.3">
      <c r="A6" t="s">
        <v>19</v>
      </c>
      <c r="B6" t="s">
        <v>15</v>
      </c>
      <c r="C6" t="s">
        <v>11</v>
      </c>
      <c r="D6" t="s">
        <v>12</v>
      </c>
      <c r="E6" t="s">
        <v>18</v>
      </c>
      <c r="F6">
        <v>79</v>
      </c>
      <c r="G6">
        <v>10160.24</v>
      </c>
      <c r="H6">
        <v>2</v>
      </c>
      <c r="I6">
        <v>72</v>
      </c>
    </row>
    <row r="7" spans="1:9" x14ac:dyDescent="0.3">
      <c r="A7" t="s">
        <v>20</v>
      </c>
      <c r="B7" t="s">
        <v>15</v>
      </c>
      <c r="C7" t="s">
        <v>11</v>
      </c>
      <c r="D7" t="s">
        <v>12</v>
      </c>
      <c r="E7" t="s">
        <v>13</v>
      </c>
      <c r="F7">
        <v>23</v>
      </c>
      <c r="G7">
        <v>103508.96</v>
      </c>
      <c r="H7">
        <v>20</v>
      </c>
      <c r="I7">
        <v>50</v>
      </c>
    </row>
    <row r="8" spans="1:9" x14ac:dyDescent="0.3">
      <c r="A8" t="s">
        <v>215</v>
      </c>
      <c r="B8" t="s">
        <v>15</v>
      </c>
      <c r="C8" t="s">
        <v>28</v>
      </c>
      <c r="D8" t="s">
        <v>23</v>
      </c>
      <c r="E8" t="s">
        <v>18</v>
      </c>
      <c r="F8">
        <v>38</v>
      </c>
      <c r="G8">
        <v>54960.36</v>
      </c>
      <c r="H8">
        <v>26</v>
      </c>
      <c r="I8">
        <v>61</v>
      </c>
    </row>
    <row r="9" spans="1:9" x14ac:dyDescent="0.3">
      <c r="A9" t="s">
        <v>208</v>
      </c>
      <c r="B9" t="s">
        <v>15</v>
      </c>
      <c r="C9" t="s">
        <v>28</v>
      </c>
      <c r="D9" t="s">
        <v>23</v>
      </c>
      <c r="E9" t="s">
        <v>18</v>
      </c>
      <c r="F9">
        <v>5</v>
      </c>
      <c r="G9">
        <v>52772.62</v>
      </c>
      <c r="H9">
        <v>9</v>
      </c>
      <c r="I9">
        <v>62</v>
      </c>
    </row>
    <row r="10" spans="1:9" x14ac:dyDescent="0.3">
      <c r="A10" t="s">
        <v>195</v>
      </c>
      <c r="B10" t="s">
        <v>15</v>
      </c>
      <c r="C10" t="s">
        <v>11</v>
      </c>
      <c r="D10" t="s">
        <v>26</v>
      </c>
      <c r="E10" t="s">
        <v>18</v>
      </c>
      <c r="F10">
        <v>36</v>
      </c>
      <c r="G10">
        <v>24614.639999999999</v>
      </c>
      <c r="H10">
        <v>30</v>
      </c>
      <c r="I10">
        <v>57</v>
      </c>
    </row>
    <row r="11" spans="1:9" x14ac:dyDescent="0.3">
      <c r="A11" t="s">
        <v>193</v>
      </c>
      <c r="B11" t="s">
        <v>15</v>
      </c>
      <c r="C11" t="s">
        <v>41</v>
      </c>
      <c r="D11" t="s">
        <v>32</v>
      </c>
      <c r="E11" t="s">
        <v>29</v>
      </c>
      <c r="F11">
        <v>49</v>
      </c>
      <c r="G11">
        <v>126056.09</v>
      </c>
      <c r="H11">
        <v>11</v>
      </c>
      <c r="I11">
        <v>78</v>
      </c>
    </row>
    <row r="12" spans="1:9" x14ac:dyDescent="0.3">
      <c r="A12" t="s">
        <v>191</v>
      </c>
      <c r="B12" t="s">
        <v>15</v>
      </c>
      <c r="C12" t="s">
        <v>41</v>
      </c>
      <c r="D12" t="s">
        <v>32</v>
      </c>
      <c r="E12" t="s">
        <v>18</v>
      </c>
      <c r="F12">
        <v>48</v>
      </c>
      <c r="G12">
        <v>10911.55</v>
      </c>
      <c r="H12">
        <v>19</v>
      </c>
      <c r="I12">
        <v>47</v>
      </c>
    </row>
    <row r="13" spans="1:9" x14ac:dyDescent="0.3">
      <c r="A13" t="s">
        <v>34</v>
      </c>
      <c r="B13" t="s">
        <v>15</v>
      </c>
      <c r="C13" t="s">
        <v>16</v>
      </c>
      <c r="D13" t="s">
        <v>23</v>
      </c>
      <c r="E13" t="s">
        <v>29</v>
      </c>
      <c r="F13">
        <v>56</v>
      </c>
      <c r="G13">
        <v>116558.38</v>
      </c>
      <c r="H13">
        <v>24</v>
      </c>
      <c r="I13">
        <v>48</v>
      </c>
    </row>
    <row r="14" spans="1:9" x14ac:dyDescent="0.3">
      <c r="A14" t="s">
        <v>187</v>
      </c>
      <c r="B14" t="s">
        <v>15</v>
      </c>
      <c r="C14" t="s">
        <v>11</v>
      </c>
      <c r="D14" t="s">
        <v>26</v>
      </c>
      <c r="E14" t="s">
        <v>18</v>
      </c>
      <c r="F14">
        <v>80</v>
      </c>
      <c r="G14">
        <v>140818.37</v>
      </c>
      <c r="H14">
        <v>9</v>
      </c>
      <c r="I14">
        <v>42</v>
      </c>
    </row>
    <row r="15" spans="1:9" x14ac:dyDescent="0.3">
      <c r="A15" t="s">
        <v>37</v>
      </c>
      <c r="B15" t="s">
        <v>15</v>
      </c>
      <c r="C15" t="s">
        <v>28</v>
      </c>
      <c r="D15" t="s">
        <v>17</v>
      </c>
      <c r="E15" t="s">
        <v>13</v>
      </c>
      <c r="F15">
        <v>62</v>
      </c>
      <c r="G15">
        <v>148179.98000000001</v>
      </c>
      <c r="H15">
        <v>11</v>
      </c>
      <c r="I15">
        <v>87</v>
      </c>
    </row>
    <row r="16" spans="1:9" x14ac:dyDescent="0.3">
      <c r="A16" t="s">
        <v>183</v>
      </c>
      <c r="B16" t="s">
        <v>15</v>
      </c>
      <c r="C16" t="s">
        <v>28</v>
      </c>
      <c r="D16" t="s">
        <v>23</v>
      </c>
      <c r="E16" t="s">
        <v>18</v>
      </c>
      <c r="F16">
        <v>6</v>
      </c>
      <c r="G16">
        <v>116568.72</v>
      </c>
      <c r="H16">
        <v>24</v>
      </c>
      <c r="I16">
        <v>65</v>
      </c>
    </row>
    <row r="17" spans="1:9" x14ac:dyDescent="0.3">
      <c r="A17" t="s">
        <v>175</v>
      </c>
      <c r="B17" t="s">
        <v>15</v>
      </c>
      <c r="C17" t="s">
        <v>11</v>
      </c>
      <c r="D17" t="s">
        <v>32</v>
      </c>
      <c r="E17" t="s">
        <v>13</v>
      </c>
      <c r="F17">
        <v>78</v>
      </c>
      <c r="G17">
        <v>15165.98</v>
      </c>
      <c r="H17">
        <v>25</v>
      </c>
      <c r="I17">
        <v>86</v>
      </c>
    </row>
    <row r="18" spans="1:9" x14ac:dyDescent="0.3">
      <c r="A18" t="s">
        <v>169</v>
      </c>
      <c r="B18" t="s">
        <v>15</v>
      </c>
      <c r="C18" t="s">
        <v>41</v>
      </c>
      <c r="D18" t="s">
        <v>32</v>
      </c>
      <c r="E18" t="s">
        <v>13</v>
      </c>
      <c r="F18">
        <v>57</v>
      </c>
      <c r="G18">
        <v>121600.57</v>
      </c>
      <c r="H18">
        <v>19</v>
      </c>
      <c r="I18">
        <v>94</v>
      </c>
    </row>
    <row r="19" spans="1:9" x14ac:dyDescent="0.3">
      <c r="A19" t="s">
        <v>163</v>
      </c>
      <c r="B19" t="s">
        <v>15</v>
      </c>
      <c r="C19" t="s">
        <v>28</v>
      </c>
      <c r="D19" t="s">
        <v>17</v>
      </c>
      <c r="E19" t="s">
        <v>29</v>
      </c>
      <c r="F19">
        <v>27</v>
      </c>
      <c r="G19">
        <v>79666.86</v>
      </c>
      <c r="H19">
        <v>16</v>
      </c>
      <c r="I19">
        <v>85</v>
      </c>
    </row>
    <row r="20" spans="1:9" x14ac:dyDescent="0.3">
      <c r="A20" t="s">
        <v>155</v>
      </c>
      <c r="B20" t="s">
        <v>15</v>
      </c>
      <c r="C20" t="s">
        <v>41</v>
      </c>
      <c r="D20" t="s">
        <v>32</v>
      </c>
      <c r="E20" t="s">
        <v>13</v>
      </c>
      <c r="F20">
        <v>73</v>
      </c>
      <c r="G20">
        <v>148956.56</v>
      </c>
      <c r="H20">
        <v>6</v>
      </c>
      <c r="I20">
        <v>100</v>
      </c>
    </row>
    <row r="21" spans="1:9" x14ac:dyDescent="0.3">
      <c r="A21" t="s">
        <v>153</v>
      </c>
      <c r="B21" t="s">
        <v>15</v>
      </c>
      <c r="C21" t="s">
        <v>41</v>
      </c>
      <c r="D21" t="s">
        <v>23</v>
      </c>
      <c r="E21" t="s">
        <v>18</v>
      </c>
      <c r="F21">
        <v>88</v>
      </c>
      <c r="G21">
        <v>50993.47</v>
      </c>
      <c r="H21">
        <v>4</v>
      </c>
      <c r="I21">
        <v>82</v>
      </c>
    </row>
    <row r="22" spans="1:9" x14ac:dyDescent="0.3">
      <c r="A22" t="s">
        <v>45</v>
      </c>
      <c r="B22" t="s">
        <v>15</v>
      </c>
      <c r="C22" t="s">
        <v>41</v>
      </c>
      <c r="D22" t="s">
        <v>23</v>
      </c>
      <c r="E22" t="s">
        <v>18</v>
      </c>
      <c r="F22">
        <v>1</v>
      </c>
      <c r="G22">
        <v>43174.44</v>
      </c>
      <c r="H22">
        <v>24</v>
      </c>
      <c r="I22">
        <v>100</v>
      </c>
    </row>
    <row r="23" spans="1:9" x14ac:dyDescent="0.3">
      <c r="A23" t="s">
        <v>149</v>
      </c>
      <c r="B23" t="s">
        <v>15</v>
      </c>
      <c r="C23" t="s">
        <v>28</v>
      </c>
      <c r="D23" t="s">
        <v>26</v>
      </c>
      <c r="E23" t="s">
        <v>13</v>
      </c>
      <c r="F23">
        <v>30</v>
      </c>
      <c r="G23">
        <v>91267.91</v>
      </c>
      <c r="H23">
        <v>17</v>
      </c>
      <c r="I23">
        <v>76</v>
      </c>
    </row>
    <row r="24" spans="1:9" x14ac:dyDescent="0.3">
      <c r="A24" t="s">
        <v>47</v>
      </c>
      <c r="B24" t="s">
        <v>15</v>
      </c>
      <c r="C24" t="s">
        <v>11</v>
      </c>
      <c r="D24" t="s">
        <v>26</v>
      </c>
      <c r="E24" t="s">
        <v>18</v>
      </c>
      <c r="F24">
        <v>31</v>
      </c>
      <c r="G24">
        <v>51842.34</v>
      </c>
      <c r="H24">
        <v>15</v>
      </c>
      <c r="I24">
        <v>74</v>
      </c>
    </row>
    <row r="25" spans="1:9" x14ac:dyDescent="0.3">
      <c r="A25" t="s">
        <v>146</v>
      </c>
      <c r="B25" t="s">
        <v>15</v>
      </c>
      <c r="C25" t="s">
        <v>16</v>
      </c>
      <c r="D25" t="s">
        <v>23</v>
      </c>
      <c r="E25" t="s">
        <v>13</v>
      </c>
      <c r="F25">
        <v>48</v>
      </c>
      <c r="G25">
        <v>117464.18</v>
      </c>
      <c r="H25">
        <v>2</v>
      </c>
      <c r="I25">
        <v>61</v>
      </c>
    </row>
    <row r="26" spans="1:9" x14ac:dyDescent="0.3">
      <c r="A26" t="s">
        <v>134</v>
      </c>
      <c r="B26" t="s">
        <v>15</v>
      </c>
      <c r="C26" t="s">
        <v>16</v>
      </c>
      <c r="D26" t="s">
        <v>17</v>
      </c>
      <c r="E26" t="s">
        <v>29</v>
      </c>
      <c r="F26">
        <v>62</v>
      </c>
      <c r="G26">
        <v>34938.57</v>
      </c>
      <c r="H26">
        <v>8</v>
      </c>
      <c r="I26">
        <v>70</v>
      </c>
    </row>
    <row r="27" spans="1:9" x14ac:dyDescent="0.3">
      <c r="A27" t="s">
        <v>131</v>
      </c>
      <c r="B27" t="s">
        <v>15</v>
      </c>
      <c r="C27" t="s">
        <v>28</v>
      </c>
      <c r="D27" t="s">
        <v>26</v>
      </c>
      <c r="E27" t="s">
        <v>13</v>
      </c>
      <c r="F27">
        <v>52</v>
      </c>
      <c r="G27">
        <v>97685.72</v>
      </c>
      <c r="H27">
        <v>28</v>
      </c>
      <c r="I27">
        <v>59</v>
      </c>
    </row>
    <row r="28" spans="1:9" x14ac:dyDescent="0.3">
      <c r="A28" t="s">
        <v>51</v>
      </c>
      <c r="B28" t="s">
        <v>15</v>
      </c>
      <c r="C28" t="s">
        <v>16</v>
      </c>
      <c r="D28" t="s">
        <v>12</v>
      </c>
      <c r="E28" t="s">
        <v>18</v>
      </c>
      <c r="F28">
        <v>35</v>
      </c>
      <c r="G28">
        <v>54350.5</v>
      </c>
      <c r="H28">
        <v>24</v>
      </c>
      <c r="I28">
        <v>70</v>
      </c>
    </row>
    <row r="29" spans="1:9" x14ac:dyDescent="0.3">
      <c r="A29" t="s">
        <v>124</v>
      </c>
      <c r="B29" t="s">
        <v>15</v>
      </c>
      <c r="C29" t="s">
        <v>11</v>
      </c>
      <c r="D29" t="s">
        <v>12</v>
      </c>
      <c r="E29" t="s">
        <v>29</v>
      </c>
      <c r="F29">
        <v>35</v>
      </c>
      <c r="G29">
        <v>85523.17</v>
      </c>
      <c r="H29">
        <v>30</v>
      </c>
      <c r="I29">
        <v>90</v>
      </c>
    </row>
    <row r="30" spans="1:9" x14ac:dyDescent="0.3">
      <c r="A30" t="s">
        <v>118</v>
      </c>
      <c r="B30" t="s">
        <v>15</v>
      </c>
      <c r="C30" t="s">
        <v>11</v>
      </c>
      <c r="D30" t="s">
        <v>17</v>
      </c>
      <c r="E30" t="s">
        <v>29</v>
      </c>
      <c r="F30">
        <v>66</v>
      </c>
      <c r="G30">
        <v>54562.1</v>
      </c>
      <c r="H30">
        <v>21</v>
      </c>
      <c r="I30">
        <v>86</v>
      </c>
    </row>
    <row r="31" spans="1:9" x14ac:dyDescent="0.3">
      <c r="A31" t="s">
        <v>114</v>
      </c>
      <c r="B31" t="s">
        <v>15</v>
      </c>
      <c r="C31" t="s">
        <v>41</v>
      </c>
      <c r="D31" t="s">
        <v>12</v>
      </c>
      <c r="E31" t="s">
        <v>18</v>
      </c>
      <c r="F31">
        <v>37</v>
      </c>
      <c r="G31">
        <v>8578.83</v>
      </c>
      <c r="H31">
        <v>2</v>
      </c>
      <c r="I31">
        <v>90</v>
      </c>
    </row>
    <row r="32" spans="1:9" x14ac:dyDescent="0.3">
      <c r="A32" t="s">
        <v>113</v>
      </c>
      <c r="B32" t="s">
        <v>15</v>
      </c>
      <c r="C32" t="s">
        <v>16</v>
      </c>
      <c r="D32" t="s">
        <v>17</v>
      </c>
      <c r="E32" t="s">
        <v>29</v>
      </c>
      <c r="F32">
        <v>1</v>
      </c>
      <c r="G32">
        <v>16874.009999999998</v>
      </c>
      <c r="H32">
        <v>14</v>
      </c>
      <c r="I32">
        <v>76</v>
      </c>
    </row>
    <row r="33" spans="1:9" x14ac:dyDescent="0.3">
      <c r="A33" t="s">
        <v>111</v>
      </c>
      <c r="B33" t="s">
        <v>15</v>
      </c>
      <c r="C33" t="s">
        <v>16</v>
      </c>
      <c r="D33" t="s">
        <v>17</v>
      </c>
      <c r="E33" t="s">
        <v>29</v>
      </c>
      <c r="F33">
        <v>40</v>
      </c>
      <c r="G33">
        <v>19717.900000000001</v>
      </c>
      <c r="H33">
        <v>20</v>
      </c>
      <c r="I33">
        <v>63</v>
      </c>
    </row>
    <row r="34" spans="1:9" x14ac:dyDescent="0.3">
      <c r="A34" t="s">
        <v>85</v>
      </c>
      <c r="B34" t="s">
        <v>15</v>
      </c>
      <c r="C34" t="s">
        <v>28</v>
      </c>
      <c r="D34" t="s">
        <v>17</v>
      </c>
      <c r="E34" t="s">
        <v>18</v>
      </c>
      <c r="F34">
        <v>75</v>
      </c>
      <c r="G34">
        <v>79671.37</v>
      </c>
      <c r="H34">
        <v>30</v>
      </c>
      <c r="I34">
        <v>43</v>
      </c>
    </row>
    <row r="35" spans="1:9" x14ac:dyDescent="0.3">
      <c r="A35" t="s">
        <v>83</v>
      </c>
      <c r="B35" t="s">
        <v>15</v>
      </c>
      <c r="C35" t="s">
        <v>11</v>
      </c>
      <c r="D35" t="s">
        <v>12</v>
      </c>
      <c r="E35" t="s">
        <v>18</v>
      </c>
      <c r="F35">
        <v>7</v>
      </c>
      <c r="G35">
        <v>127110.45</v>
      </c>
      <c r="H35">
        <v>30</v>
      </c>
      <c r="I35">
        <v>100</v>
      </c>
    </row>
    <row r="36" spans="1:9" x14ac:dyDescent="0.3">
      <c r="A36" t="s">
        <v>75</v>
      </c>
      <c r="B36" t="s">
        <v>15</v>
      </c>
      <c r="C36" t="s">
        <v>41</v>
      </c>
      <c r="D36" t="s">
        <v>12</v>
      </c>
      <c r="E36" t="s">
        <v>18</v>
      </c>
      <c r="F36">
        <v>66</v>
      </c>
      <c r="G36">
        <v>84096.91</v>
      </c>
      <c r="H36">
        <v>18</v>
      </c>
      <c r="I36">
        <v>91</v>
      </c>
    </row>
    <row r="37" spans="1:9" x14ac:dyDescent="0.3">
      <c r="A37" t="s">
        <v>70</v>
      </c>
      <c r="B37" t="s">
        <v>15</v>
      </c>
      <c r="C37" t="s">
        <v>28</v>
      </c>
      <c r="D37" t="s">
        <v>23</v>
      </c>
      <c r="E37" t="s">
        <v>18</v>
      </c>
      <c r="F37">
        <v>62</v>
      </c>
      <c r="G37">
        <v>149340.16</v>
      </c>
      <c r="H37">
        <v>18</v>
      </c>
      <c r="I37">
        <v>49</v>
      </c>
    </row>
    <row r="38" spans="1:9" x14ac:dyDescent="0.3">
      <c r="A38" t="s">
        <v>67</v>
      </c>
      <c r="B38" t="s">
        <v>15</v>
      </c>
      <c r="C38" t="s">
        <v>28</v>
      </c>
      <c r="D38" t="s">
        <v>23</v>
      </c>
      <c r="E38" t="s">
        <v>18</v>
      </c>
      <c r="F38">
        <v>31</v>
      </c>
      <c r="G38">
        <v>113414.83</v>
      </c>
      <c r="H38">
        <v>8</v>
      </c>
      <c r="I38">
        <v>70</v>
      </c>
    </row>
    <row r="39" spans="1:9" x14ac:dyDescent="0.3">
      <c r="A39" t="s">
        <v>66</v>
      </c>
      <c r="B39" t="s">
        <v>15</v>
      </c>
      <c r="C39" t="s">
        <v>41</v>
      </c>
      <c r="D39" t="s">
        <v>23</v>
      </c>
      <c r="E39" t="s">
        <v>18</v>
      </c>
      <c r="F39">
        <v>14</v>
      </c>
      <c r="G39">
        <v>9067.3799999999992</v>
      </c>
      <c r="H39">
        <v>28</v>
      </c>
      <c r="I39">
        <v>86</v>
      </c>
    </row>
    <row r="40" spans="1:9" x14ac:dyDescent="0.3">
      <c r="A40" t="s">
        <v>63</v>
      </c>
      <c r="B40" t="s">
        <v>15</v>
      </c>
      <c r="C40" t="s">
        <v>11</v>
      </c>
      <c r="D40" t="s">
        <v>17</v>
      </c>
      <c r="E40" t="s">
        <v>13</v>
      </c>
      <c r="F40">
        <v>41</v>
      </c>
      <c r="G40">
        <v>143381.07</v>
      </c>
      <c r="H40">
        <v>1</v>
      </c>
      <c r="I40">
        <v>87</v>
      </c>
    </row>
    <row r="41" spans="1:9" x14ac:dyDescent="0.3">
      <c r="A41" t="s">
        <v>64</v>
      </c>
      <c r="B41" t="s">
        <v>15</v>
      </c>
      <c r="C41" t="s">
        <v>11</v>
      </c>
      <c r="D41" t="s">
        <v>17</v>
      </c>
      <c r="E41" t="s">
        <v>18</v>
      </c>
      <c r="F41">
        <v>3</v>
      </c>
      <c r="G41">
        <v>50045.440000000002</v>
      </c>
      <c r="H41">
        <v>15</v>
      </c>
      <c r="I41">
        <v>84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D64D2-A0F3-494D-B9ED-7B8792FD1494}">
  <dimension ref="A3:J73"/>
  <sheetViews>
    <sheetView topLeftCell="A54" workbookViewId="0">
      <selection activeCell="C60" sqref="C60"/>
    </sheetView>
  </sheetViews>
  <sheetFormatPr defaultRowHeight="14.4" x14ac:dyDescent="0.3"/>
  <cols>
    <col min="1" max="1" width="14.88671875" bestFit="1" customWidth="1"/>
    <col min="2" max="2" width="12.44140625" bestFit="1" customWidth="1"/>
    <col min="3" max="3" width="22.77734375" bestFit="1" customWidth="1"/>
    <col min="4" max="4" width="20.21875" bestFit="1" customWidth="1"/>
    <col min="5" max="5" width="19.88671875" bestFit="1" customWidth="1"/>
    <col min="6" max="6" width="12.44140625" bestFit="1" customWidth="1"/>
    <col min="7" max="7" width="22.77734375" bestFit="1" customWidth="1"/>
    <col min="8" max="8" width="20.21875" bestFit="1" customWidth="1"/>
    <col min="9" max="9" width="12.44140625" bestFit="1" customWidth="1"/>
    <col min="10" max="10" width="22.77734375" bestFit="1" customWidth="1"/>
  </cols>
  <sheetData>
    <row r="3" spans="1:10" x14ac:dyDescent="0.3">
      <c r="A3" s="1" t="s">
        <v>240</v>
      </c>
      <c r="B3" t="s">
        <v>236</v>
      </c>
      <c r="C3" t="s">
        <v>237</v>
      </c>
      <c r="D3" t="s">
        <v>238</v>
      </c>
      <c r="F3" s="1" t="s">
        <v>227</v>
      </c>
      <c r="G3" t="s">
        <v>236</v>
      </c>
      <c r="I3" s="1" t="s">
        <v>227</v>
      </c>
      <c r="J3" t="s">
        <v>236</v>
      </c>
    </row>
    <row r="4" spans="1:10" x14ac:dyDescent="0.3">
      <c r="A4" s="2" t="s">
        <v>25</v>
      </c>
      <c r="B4" s="11">
        <v>70.5</v>
      </c>
      <c r="C4" s="11">
        <v>41</v>
      </c>
      <c r="D4" s="11">
        <v>19.571496576932219</v>
      </c>
      <c r="F4" s="2" t="s">
        <v>23</v>
      </c>
      <c r="G4">
        <v>67.921052631578945</v>
      </c>
      <c r="I4" s="2" t="s">
        <v>16</v>
      </c>
      <c r="J4" s="11">
        <v>67.581818181818178</v>
      </c>
    </row>
    <row r="5" spans="1:10" x14ac:dyDescent="0.3">
      <c r="A5" s="2" t="s">
        <v>10</v>
      </c>
      <c r="B5" s="11">
        <v>71.804878048780495</v>
      </c>
      <c r="C5" s="11">
        <v>40</v>
      </c>
      <c r="D5" s="11">
        <v>16.895590419093264</v>
      </c>
      <c r="F5" s="2" t="s">
        <v>32</v>
      </c>
      <c r="G5">
        <v>67.75555555555556</v>
      </c>
      <c r="I5" s="2" t="s">
        <v>28</v>
      </c>
      <c r="J5" s="11">
        <v>70.021276595744681</v>
      </c>
    </row>
    <row r="6" spans="1:10" x14ac:dyDescent="0.3">
      <c r="A6" s="2" t="s">
        <v>31</v>
      </c>
      <c r="B6" s="11">
        <v>66.392857142857139</v>
      </c>
      <c r="C6" s="11">
        <v>40</v>
      </c>
      <c r="D6" s="11">
        <v>19.085265376655212</v>
      </c>
      <c r="F6" s="2" t="s">
        <v>17</v>
      </c>
      <c r="G6">
        <v>73.243902439024396</v>
      </c>
      <c r="I6" s="2" t="s">
        <v>41</v>
      </c>
      <c r="J6" s="11">
        <v>73.291666666666671</v>
      </c>
    </row>
    <row r="7" spans="1:10" x14ac:dyDescent="0.3">
      <c r="A7" s="2" t="s">
        <v>36</v>
      </c>
      <c r="B7" s="11">
        <v>72.41935483870968</v>
      </c>
      <c r="C7" s="11">
        <v>41</v>
      </c>
      <c r="D7" s="11">
        <v>17.819042610923095</v>
      </c>
      <c r="F7" s="2" t="s">
        <v>12</v>
      </c>
      <c r="G7">
        <v>72.521739130434781</v>
      </c>
      <c r="I7" s="2" t="s">
        <v>11</v>
      </c>
      <c r="J7" s="11">
        <v>70.98</v>
      </c>
    </row>
    <row r="8" spans="1:10" x14ac:dyDescent="0.3">
      <c r="A8" s="2" t="s">
        <v>22</v>
      </c>
      <c r="B8" s="11">
        <v>67.263157894736835</v>
      </c>
      <c r="C8" s="11">
        <v>40</v>
      </c>
      <c r="D8" s="11">
        <v>16.439379567641545</v>
      </c>
      <c r="F8" s="2" t="s">
        <v>26</v>
      </c>
      <c r="G8">
        <v>70.2</v>
      </c>
      <c r="I8" s="2" t="s">
        <v>228</v>
      </c>
      <c r="J8" s="11">
        <v>70.375</v>
      </c>
    </row>
    <row r="9" spans="1:10" x14ac:dyDescent="0.3">
      <c r="A9" s="2" t="s">
        <v>15</v>
      </c>
      <c r="B9" s="11">
        <v>73.131578947368425</v>
      </c>
      <c r="C9" s="11">
        <v>42</v>
      </c>
      <c r="D9" s="11">
        <v>17.727930402572756</v>
      </c>
      <c r="F9" s="2" t="s">
        <v>228</v>
      </c>
      <c r="G9">
        <v>70.375</v>
      </c>
    </row>
    <row r="10" spans="1:10" x14ac:dyDescent="0.3">
      <c r="A10" s="2" t="s">
        <v>228</v>
      </c>
      <c r="B10" s="11">
        <v>70.375</v>
      </c>
      <c r="C10" s="11">
        <v>40</v>
      </c>
      <c r="D10" s="11">
        <v>17.726406926181141</v>
      </c>
    </row>
    <row r="13" spans="1:10" x14ac:dyDescent="0.3">
      <c r="I13" s="3" t="s">
        <v>227</v>
      </c>
      <c r="J13" s="3" t="s">
        <v>236</v>
      </c>
    </row>
    <row r="14" spans="1:10" x14ac:dyDescent="0.3">
      <c r="I14" s="2" t="s">
        <v>16</v>
      </c>
      <c r="J14">
        <v>67.581818181818178</v>
      </c>
    </row>
    <row r="15" spans="1:10" x14ac:dyDescent="0.3">
      <c r="I15" s="2" t="s">
        <v>28</v>
      </c>
      <c r="J15">
        <v>70.021276595744681</v>
      </c>
    </row>
    <row r="16" spans="1:10" x14ac:dyDescent="0.3">
      <c r="I16" s="2" t="s">
        <v>41</v>
      </c>
      <c r="J16">
        <v>73.291666666666671</v>
      </c>
    </row>
    <row r="17" spans="9:10" x14ac:dyDescent="0.3">
      <c r="I17" s="2" t="s">
        <v>11</v>
      </c>
      <c r="J17">
        <v>70.98</v>
      </c>
    </row>
    <row r="41" spans="2:3" x14ac:dyDescent="0.3">
      <c r="B41" s="1" t="s">
        <v>227</v>
      </c>
      <c r="C41" t="s">
        <v>236</v>
      </c>
    </row>
    <row r="42" spans="2:3" x14ac:dyDescent="0.3">
      <c r="B42" s="2" t="s">
        <v>13</v>
      </c>
      <c r="C42" s="11">
        <v>71.614035087719301</v>
      </c>
    </row>
    <row r="43" spans="2:3" x14ac:dyDescent="0.3">
      <c r="B43" s="2" t="s">
        <v>18</v>
      </c>
      <c r="C43" s="11">
        <v>72.283950617283949</v>
      </c>
    </row>
    <row r="44" spans="2:3" x14ac:dyDescent="0.3">
      <c r="B44" s="2" t="s">
        <v>29</v>
      </c>
      <c r="C44" s="11">
        <v>66.741935483870961</v>
      </c>
    </row>
    <row r="45" spans="2:3" x14ac:dyDescent="0.3">
      <c r="B45" s="2" t="s">
        <v>228</v>
      </c>
      <c r="C45" s="11">
        <v>70.375</v>
      </c>
    </row>
    <row r="48" spans="2:3" x14ac:dyDescent="0.3">
      <c r="B48" s="1" t="s">
        <v>227</v>
      </c>
      <c r="C48" t="s">
        <v>236</v>
      </c>
    </row>
    <row r="49" spans="2:3" x14ac:dyDescent="0.3">
      <c r="B49" s="2" t="s">
        <v>242</v>
      </c>
      <c r="C49" s="10">
        <v>72.254716981132077</v>
      </c>
    </row>
    <row r="50" spans="2:3" x14ac:dyDescent="0.3">
      <c r="B50" s="2" t="s">
        <v>243</v>
      </c>
      <c r="C50" s="10">
        <v>68.255319148936167</v>
      </c>
    </row>
    <row r="51" spans="2:3" x14ac:dyDescent="0.3">
      <c r="B51" s="2" t="s">
        <v>228</v>
      </c>
      <c r="C51" s="11">
        <v>70.375</v>
      </c>
    </row>
    <row r="55" spans="2:3" x14ac:dyDescent="0.3">
      <c r="B55" s="1" t="s">
        <v>227</v>
      </c>
      <c r="C55" t="s">
        <v>236</v>
      </c>
    </row>
    <row r="56" spans="2:3" x14ac:dyDescent="0.3">
      <c r="B56" s="2" t="s">
        <v>245</v>
      </c>
      <c r="C56" s="9">
        <v>68.324324324324323</v>
      </c>
    </row>
    <row r="57" spans="2:3" x14ac:dyDescent="0.3">
      <c r="B57" s="2" t="s">
        <v>246</v>
      </c>
      <c r="C57" s="9">
        <v>70.400000000000006</v>
      </c>
    </row>
    <row r="58" spans="2:3" x14ac:dyDescent="0.3">
      <c r="B58" s="2" t="s">
        <v>247</v>
      </c>
      <c r="C58" s="9">
        <v>72.961538461538467</v>
      </c>
    </row>
    <row r="59" spans="2:3" x14ac:dyDescent="0.3">
      <c r="B59" s="2" t="s">
        <v>248</v>
      </c>
      <c r="C59" s="9">
        <v>72.222222222222229</v>
      </c>
    </row>
    <row r="60" spans="2:3" x14ac:dyDescent="0.3">
      <c r="B60" s="2" t="s">
        <v>249</v>
      </c>
      <c r="C60" s="9">
        <v>68.242424242424249</v>
      </c>
    </row>
    <row r="61" spans="2:3" x14ac:dyDescent="0.3">
      <c r="B61" s="2" t="s">
        <v>250</v>
      </c>
      <c r="C61" s="9">
        <v>72.342857142857142</v>
      </c>
    </row>
    <row r="62" spans="2:3" x14ac:dyDescent="0.3">
      <c r="B62" s="2" t="s">
        <v>251</v>
      </c>
      <c r="C62" s="9">
        <v>67.230769230769226</v>
      </c>
    </row>
    <row r="63" spans="2:3" x14ac:dyDescent="0.3">
      <c r="B63" s="2" t="s">
        <v>252</v>
      </c>
      <c r="C63" s="9">
        <v>71.333333333333329</v>
      </c>
    </row>
    <row r="64" spans="2:3" x14ac:dyDescent="0.3">
      <c r="B64" s="2" t="s">
        <v>228</v>
      </c>
      <c r="C64" s="11">
        <v>70.375</v>
      </c>
    </row>
    <row r="65" spans="5:6" x14ac:dyDescent="0.3">
      <c r="E65" s="3" t="s">
        <v>227</v>
      </c>
      <c r="F65" s="3" t="s">
        <v>236</v>
      </c>
    </row>
    <row r="66" spans="5:6" x14ac:dyDescent="0.3">
      <c r="E66" s="2" t="s">
        <v>245</v>
      </c>
      <c r="F66" s="9">
        <v>68.324324324324323</v>
      </c>
    </row>
    <row r="67" spans="5:6" x14ac:dyDescent="0.3">
      <c r="E67" s="2" t="s">
        <v>246</v>
      </c>
      <c r="F67" s="9">
        <v>70.400000000000006</v>
      </c>
    </row>
    <row r="68" spans="5:6" x14ac:dyDescent="0.3">
      <c r="E68" s="2" t="s">
        <v>247</v>
      </c>
      <c r="F68" s="9">
        <v>72.961538461538467</v>
      </c>
    </row>
    <row r="69" spans="5:6" x14ac:dyDescent="0.3">
      <c r="E69" s="2" t="s">
        <v>248</v>
      </c>
      <c r="F69" s="9">
        <v>72.222222222222229</v>
      </c>
    </row>
    <row r="70" spans="5:6" x14ac:dyDescent="0.3">
      <c r="E70" s="2" t="s">
        <v>249</v>
      </c>
      <c r="F70" s="9">
        <v>68.242424242424249</v>
      </c>
    </row>
    <row r="71" spans="5:6" x14ac:dyDescent="0.3">
      <c r="E71" s="2" t="s">
        <v>250</v>
      </c>
      <c r="F71" s="9">
        <v>72.342857142857142</v>
      </c>
    </row>
    <row r="72" spans="5:6" x14ac:dyDescent="0.3">
      <c r="E72" s="2" t="s">
        <v>251</v>
      </c>
      <c r="F72" s="9">
        <v>67.230769230769226</v>
      </c>
    </row>
    <row r="73" spans="5:6" x14ac:dyDescent="0.3">
      <c r="E73" s="2" t="s">
        <v>252</v>
      </c>
      <c r="F73" s="9">
        <v>71.333333333333329</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C7619-D329-4159-A2EB-9193E01A8B8B}">
  <dimension ref="A1:K201"/>
  <sheetViews>
    <sheetView topLeftCell="C1" workbookViewId="0">
      <selection activeCell="K4" sqref="K4"/>
    </sheetView>
  </sheetViews>
  <sheetFormatPr defaultRowHeight="14.4" x14ac:dyDescent="0.3"/>
  <cols>
    <col min="1" max="1" width="11" customWidth="1"/>
    <col min="2" max="2" width="12.88671875" customWidth="1"/>
    <col min="3" max="3" width="15.6640625" customWidth="1"/>
    <col min="4" max="4" width="14.44140625" customWidth="1"/>
    <col min="5" max="5" width="11.88671875" customWidth="1"/>
    <col min="6" max="6" width="11" customWidth="1"/>
    <col min="7" max="7" width="20.33203125" customWidth="1"/>
    <col min="8" max="8" width="19.6640625" customWidth="1"/>
    <col min="9" max="9" width="20.77734375" customWidth="1"/>
  </cols>
  <sheetData>
    <row r="1" spans="1:11" x14ac:dyDescent="0.3">
      <c r="A1" t="s">
        <v>0</v>
      </c>
      <c r="B1" t="s">
        <v>1</v>
      </c>
      <c r="C1" t="s">
        <v>2</v>
      </c>
      <c r="D1" t="s">
        <v>3</v>
      </c>
      <c r="E1" t="s">
        <v>4</v>
      </c>
      <c r="F1" t="s">
        <v>5</v>
      </c>
      <c r="G1" t="s">
        <v>6</v>
      </c>
      <c r="H1" t="s">
        <v>7</v>
      </c>
      <c r="I1" t="s">
        <v>8</v>
      </c>
      <c r="J1" t="s">
        <v>241</v>
      </c>
      <c r="K1" t="s">
        <v>244</v>
      </c>
    </row>
    <row r="2" spans="1:11" x14ac:dyDescent="0.3">
      <c r="A2" t="s">
        <v>9</v>
      </c>
      <c r="B2" t="s">
        <v>10</v>
      </c>
      <c r="C2" t="s">
        <v>11</v>
      </c>
      <c r="D2" t="s">
        <v>12</v>
      </c>
      <c r="E2" t="s">
        <v>13</v>
      </c>
      <c r="F2">
        <v>12</v>
      </c>
      <c r="G2">
        <v>68632.97</v>
      </c>
      <c r="H2">
        <v>21</v>
      </c>
      <c r="I2">
        <v>82</v>
      </c>
      <c r="J2" t="str">
        <f t="shared" ref="J2:J33" si="0">IF(G2&gt;75000,"High Cost", "Low  Cost")</f>
        <v>Low  Cost</v>
      </c>
      <c r="K2" t="str">
        <f t="shared" ref="K2:K33" si="1">IF(F2&lt;=5, "Infant/Toddler",
IF(F2&lt;=12,"Child",
IF(F2&lt;=19,"Teenager",
IF(F2&lt;=29,"Young Adult",
IF(F2&lt;=44,"Adult",
IF(F2&lt;=59,"Middle-aged",
IF(F2&lt;=74,"Senior","Elderly")))))))</f>
        <v>Child</v>
      </c>
    </row>
    <row r="3" spans="1:11" x14ac:dyDescent="0.3">
      <c r="A3" t="s">
        <v>14</v>
      </c>
      <c r="B3" t="s">
        <v>15</v>
      </c>
      <c r="C3" t="s">
        <v>16</v>
      </c>
      <c r="D3" t="s">
        <v>17</v>
      </c>
      <c r="E3" t="s">
        <v>18</v>
      </c>
      <c r="F3">
        <v>52</v>
      </c>
      <c r="G3">
        <v>10231.42</v>
      </c>
      <c r="H3">
        <v>20</v>
      </c>
      <c r="I3">
        <v>42</v>
      </c>
      <c r="J3" t="str">
        <f>IF(G3&gt;75000,"High Cost", "Low  Cost")</f>
        <v>Low  Cost</v>
      </c>
      <c r="K3" t="str">
        <f>IF(F3&lt;=5, "Infant/Toddler",
IF(F3&lt;=12,"Child",
IF(F3&lt;=19,"Teenager",
IF(F3&lt;=29,"Young Adult",
IF(F3&lt;=44,"Adult",
IF(F3&lt;=59,"Middle-aged",
IF(F3&lt;=74,"Senior","Elderly")))))))</f>
        <v>Middle-aged</v>
      </c>
    </row>
    <row r="4" spans="1:11" x14ac:dyDescent="0.3">
      <c r="A4" t="s">
        <v>19</v>
      </c>
      <c r="B4" t="s">
        <v>15</v>
      </c>
      <c r="C4" t="s">
        <v>11</v>
      </c>
      <c r="D4" t="s">
        <v>12</v>
      </c>
      <c r="E4" t="s">
        <v>18</v>
      </c>
      <c r="F4">
        <v>79</v>
      </c>
      <c r="G4">
        <v>10160.24</v>
      </c>
      <c r="H4">
        <v>2</v>
      </c>
      <c r="I4">
        <v>72</v>
      </c>
      <c r="J4" t="str">
        <f t="shared" si="0"/>
        <v>Low  Cost</v>
      </c>
      <c r="K4" t="str">
        <f t="shared" si="1"/>
        <v>Elderly</v>
      </c>
    </row>
    <row r="5" spans="1:11" x14ac:dyDescent="0.3">
      <c r="A5" t="s">
        <v>20</v>
      </c>
      <c r="B5" t="s">
        <v>15</v>
      </c>
      <c r="C5" t="s">
        <v>11</v>
      </c>
      <c r="D5" t="s">
        <v>12</v>
      </c>
      <c r="E5" t="s">
        <v>13</v>
      </c>
      <c r="F5">
        <v>23</v>
      </c>
      <c r="G5">
        <v>103508.96</v>
      </c>
      <c r="H5">
        <v>20</v>
      </c>
      <c r="I5">
        <v>50</v>
      </c>
      <c r="J5" t="str">
        <f t="shared" si="0"/>
        <v>High Cost</v>
      </c>
      <c r="K5" t="str">
        <f t="shared" si="1"/>
        <v>Young Adult</v>
      </c>
    </row>
    <row r="6" spans="1:11" x14ac:dyDescent="0.3">
      <c r="A6" t="s">
        <v>21</v>
      </c>
      <c r="B6" t="s">
        <v>22</v>
      </c>
      <c r="C6" t="s">
        <v>16</v>
      </c>
      <c r="D6" t="s">
        <v>23</v>
      </c>
      <c r="E6" t="s">
        <v>13</v>
      </c>
      <c r="F6">
        <v>7</v>
      </c>
      <c r="G6">
        <v>143427.51999999999</v>
      </c>
      <c r="H6">
        <v>6</v>
      </c>
      <c r="I6">
        <v>43</v>
      </c>
      <c r="J6" t="str">
        <f t="shared" si="0"/>
        <v>High Cost</v>
      </c>
      <c r="K6" t="str">
        <f t="shared" si="1"/>
        <v>Child</v>
      </c>
    </row>
    <row r="7" spans="1:11" x14ac:dyDescent="0.3">
      <c r="A7" t="s">
        <v>24</v>
      </c>
      <c r="B7" t="s">
        <v>25</v>
      </c>
      <c r="C7" t="s">
        <v>16</v>
      </c>
      <c r="D7" t="s">
        <v>26</v>
      </c>
      <c r="E7" t="s">
        <v>13</v>
      </c>
      <c r="F7">
        <v>78</v>
      </c>
      <c r="G7">
        <v>146252.19</v>
      </c>
      <c r="H7">
        <v>9</v>
      </c>
      <c r="I7">
        <v>41</v>
      </c>
      <c r="J7" t="str">
        <f t="shared" si="0"/>
        <v>High Cost</v>
      </c>
      <c r="K7" t="str">
        <f t="shared" si="1"/>
        <v>Elderly</v>
      </c>
    </row>
    <row r="8" spans="1:11" x14ac:dyDescent="0.3">
      <c r="A8" t="s">
        <v>27</v>
      </c>
      <c r="B8" t="s">
        <v>25</v>
      </c>
      <c r="C8" t="s">
        <v>28</v>
      </c>
      <c r="D8" t="s">
        <v>17</v>
      </c>
      <c r="E8" t="s">
        <v>29</v>
      </c>
      <c r="F8">
        <v>30</v>
      </c>
      <c r="G8">
        <v>54393.48</v>
      </c>
      <c r="H8">
        <v>1</v>
      </c>
      <c r="I8">
        <v>42</v>
      </c>
      <c r="J8" t="str">
        <f t="shared" si="0"/>
        <v>Low  Cost</v>
      </c>
      <c r="K8" t="str">
        <f t="shared" si="1"/>
        <v>Adult</v>
      </c>
    </row>
    <row r="9" spans="1:11" x14ac:dyDescent="0.3">
      <c r="A9" t="s">
        <v>30</v>
      </c>
      <c r="B9" t="s">
        <v>31</v>
      </c>
      <c r="C9" t="s">
        <v>28</v>
      </c>
      <c r="D9" t="s">
        <v>32</v>
      </c>
      <c r="E9" t="s">
        <v>29</v>
      </c>
      <c r="F9">
        <v>68</v>
      </c>
      <c r="G9">
        <v>30452.22</v>
      </c>
      <c r="H9">
        <v>6</v>
      </c>
      <c r="I9">
        <v>77</v>
      </c>
      <c r="J9" t="str">
        <f t="shared" si="0"/>
        <v>Low  Cost</v>
      </c>
      <c r="K9" t="str">
        <f t="shared" si="1"/>
        <v>Senior</v>
      </c>
    </row>
    <row r="10" spans="1:11" x14ac:dyDescent="0.3">
      <c r="A10" t="s">
        <v>33</v>
      </c>
      <c r="B10" t="s">
        <v>10</v>
      </c>
      <c r="C10" t="s">
        <v>28</v>
      </c>
      <c r="D10" t="s">
        <v>12</v>
      </c>
      <c r="E10" t="s">
        <v>29</v>
      </c>
      <c r="F10">
        <v>41</v>
      </c>
      <c r="G10">
        <v>79517.25</v>
      </c>
      <c r="H10">
        <v>9</v>
      </c>
      <c r="I10">
        <v>62</v>
      </c>
      <c r="J10" t="str">
        <f t="shared" si="0"/>
        <v>High Cost</v>
      </c>
      <c r="K10" t="str">
        <f t="shared" si="1"/>
        <v>Adult</v>
      </c>
    </row>
    <row r="11" spans="1:11" x14ac:dyDescent="0.3">
      <c r="A11" t="s">
        <v>34</v>
      </c>
      <c r="B11" t="s">
        <v>15</v>
      </c>
      <c r="C11" t="s">
        <v>16</v>
      </c>
      <c r="D11" t="s">
        <v>23</v>
      </c>
      <c r="E11" t="s">
        <v>29</v>
      </c>
      <c r="F11">
        <v>56</v>
      </c>
      <c r="G11">
        <v>116558.38</v>
      </c>
      <c r="H11">
        <v>24</v>
      </c>
      <c r="I11">
        <v>48</v>
      </c>
      <c r="J11" t="str">
        <f t="shared" si="0"/>
        <v>High Cost</v>
      </c>
      <c r="K11" t="str">
        <f t="shared" si="1"/>
        <v>Middle-aged</v>
      </c>
    </row>
    <row r="12" spans="1:11" x14ac:dyDescent="0.3">
      <c r="A12" t="s">
        <v>35</v>
      </c>
      <c r="B12" t="s">
        <v>36</v>
      </c>
      <c r="C12" t="s">
        <v>16</v>
      </c>
      <c r="D12" t="s">
        <v>23</v>
      </c>
      <c r="E12" t="s">
        <v>13</v>
      </c>
      <c r="F12">
        <v>24</v>
      </c>
      <c r="G12">
        <v>135883.74</v>
      </c>
      <c r="H12">
        <v>15</v>
      </c>
      <c r="I12">
        <v>54</v>
      </c>
      <c r="J12" t="str">
        <f t="shared" si="0"/>
        <v>High Cost</v>
      </c>
      <c r="K12" t="str">
        <f t="shared" si="1"/>
        <v>Young Adult</v>
      </c>
    </row>
    <row r="13" spans="1:11" x14ac:dyDescent="0.3">
      <c r="A13" t="s">
        <v>37</v>
      </c>
      <c r="B13" t="s">
        <v>15</v>
      </c>
      <c r="C13" t="s">
        <v>28</v>
      </c>
      <c r="D13" t="s">
        <v>17</v>
      </c>
      <c r="E13" t="s">
        <v>13</v>
      </c>
      <c r="F13">
        <v>62</v>
      </c>
      <c r="G13">
        <v>148179.98000000001</v>
      </c>
      <c r="H13">
        <v>11</v>
      </c>
      <c r="I13">
        <v>87</v>
      </c>
      <c r="J13" t="str">
        <f t="shared" si="0"/>
        <v>High Cost</v>
      </c>
      <c r="K13" t="str">
        <f t="shared" si="1"/>
        <v>Senior</v>
      </c>
    </row>
    <row r="14" spans="1:11" x14ac:dyDescent="0.3">
      <c r="A14" t="s">
        <v>38</v>
      </c>
      <c r="B14" t="s">
        <v>25</v>
      </c>
      <c r="C14" t="s">
        <v>28</v>
      </c>
      <c r="D14" t="s">
        <v>32</v>
      </c>
      <c r="E14" t="s">
        <v>13</v>
      </c>
      <c r="F14">
        <v>65</v>
      </c>
      <c r="G14">
        <v>20591.650000000001</v>
      </c>
      <c r="H14">
        <v>28</v>
      </c>
      <c r="I14">
        <v>52</v>
      </c>
      <c r="J14" t="str">
        <f t="shared" si="0"/>
        <v>Low  Cost</v>
      </c>
      <c r="K14" t="str">
        <f t="shared" si="1"/>
        <v>Senior</v>
      </c>
    </row>
    <row r="15" spans="1:11" x14ac:dyDescent="0.3">
      <c r="A15" t="s">
        <v>39</v>
      </c>
      <c r="B15" t="s">
        <v>10</v>
      </c>
      <c r="C15" t="s">
        <v>28</v>
      </c>
      <c r="D15" t="s">
        <v>12</v>
      </c>
      <c r="E15" t="s">
        <v>13</v>
      </c>
      <c r="F15">
        <v>13</v>
      </c>
      <c r="G15">
        <v>59149.07</v>
      </c>
      <c r="H15">
        <v>19</v>
      </c>
      <c r="I15">
        <v>86</v>
      </c>
      <c r="J15" t="str">
        <f t="shared" si="0"/>
        <v>Low  Cost</v>
      </c>
      <c r="K15" t="str">
        <f t="shared" si="1"/>
        <v>Teenager</v>
      </c>
    </row>
    <row r="16" spans="1:11" x14ac:dyDescent="0.3">
      <c r="A16" t="s">
        <v>40</v>
      </c>
      <c r="B16" t="s">
        <v>10</v>
      </c>
      <c r="C16" t="s">
        <v>41</v>
      </c>
      <c r="D16" t="s">
        <v>26</v>
      </c>
      <c r="E16" t="s">
        <v>18</v>
      </c>
      <c r="F16">
        <v>39</v>
      </c>
      <c r="G16">
        <v>59335.72</v>
      </c>
      <c r="H16">
        <v>28</v>
      </c>
      <c r="I16">
        <v>80</v>
      </c>
      <c r="J16" t="str">
        <f t="shared" si="0"/>
        <v>Low  Cost</v>
      </c>
      <c r="K16" t="str">
        <f t="shared" si="1"/>
        <v>Adult</v>
      </c>
    </row>
    <row r="17" spans="1:11" x14ac:dyDescent="0.3">
      <c r="A17" t="s">
        <v>42</v>
      </c>
      <c r="B17" t="s">
        <v>22</v>
      </c>
      <c r="C17" t="s">
        <v>16</v>
      </c>
      <c r="D17" t="s">
        <v>12</v>
      </c>
      <c r="E17" t="s">
        <v>18</v>
      </c>
      <c r="F17">
        <v>85</v>
      </c>
      <c r="G17">
        <v>101936.34</v>
      </c>
      <c r="H17">
        <v>27</v>
      </c>
      <c r="I17">
        <v>99</v>
      </c>
      <c r="J17" t="str">
        <f t="shared" si="0"/>
        <v>High Cost</v>
      </c>
      <c r="K17" t="str">
        <f t="shared" si="1"/>
        <v>Elderly</v>
      </c>
    </row>
    <row r="18" spans="1:11" x14ac:dyDescent="0.3">
      <c r="A18" t="s">
        <v>43</v>
      </c>
      <c r="B18" t="s">
        <v>22</v>
      </c>
      <c r="C18" t="s">
        <v>41</v>
      </c>
      <c r="D18" t="s">
        <v>12</v>
      </c>
      <c r="E18" t="s">
        <v>18</v>
      </c>
      <c r="F18">
        <v>52</v>
      </c>
      <c r="G18">
        <v>107481.12</v>
      </c>
      <c r="H18">
        <v>8</v>
      </c>
      <c r="I18">
        <v>93</v>
      </c>
      <c r="J18" t="str">
        <f t="shared" si="0"/>
        <v>High Cost</v>
      </c>
      <c r="K18" t="str">
        <f t="shared" si="1"/>
        <v>Middle-aged</v>
      </c>
    </row>
    <row r="19" spans="1:11" x14ac:dyDescent="0.3">
      <c r="A19" t="s">
        <v>44</v>
      </c>
      <c r="B19" t="s">
        <v>36</v>
      </c>
      <c r="C19" t="s">
        <v>11</v>
      </c>
      <c r="D19" t="s">
        <v>23</v>
      </c>
      <c r="E19" t="s">
        <v>18</v>
      </c>
      <c r="F19">
        <v>25</v>
      </c>
      <c r="G19">
        <v>142574.53</v>
      </c>
      <c r="H19">
        <v>30</v>
      </c>
      <c r="I19">
        <v>99</v>
      </c>
      <c r="J19" t="str">
        <f t="shared" si="0"/>
        <v>High Cost</v>
      </c>
      <c r="K19" t="str">
        <f t="shared" si="1"/>
        <v>Young Adult</v>
      </c>
    </row>
    <row r="20" spans="1:11" x14ac:dyDescent="0.3">
      <c r="A20" t="s">
        <v>45</v>
      </c>
      <c r="B20" t="s">
        <v>15</v>
      </c>
      <c r="C20" t="s">
        <v>41</v>
      </c>
      <c r="D20" t="s">
        <v>23</v>
      </c>
      <c r="E20" t="s">
        <v>18</v>
      </c>
      <c r="F20">
        <v>1</v>
      </c>
      <c r="G20">
        <v>43174.44</v>
      </c>
      <c r="H20">
        <v>24</v>
      </c>
      <c r="I20">
        <v>100</v>
      </c>
      <c r="J20" t="str">
        <f t="shared" si="0"/>
        <v>Low  Cost</v>
      </c>
      <c r="K20" t="str">
        <f t="shared" si="1"/>
        <v>Infant/Toddler</v>
      </c>
    </row>
    <row r="21" spans="1:11" x14ac:dyDescent="0.3">
      <c r="A21" t="s">
        <v>46</v>
      </c>
      <c r="B21" t="s">
        <v>31</v>
      </c>
      <c r="C21" t="s">
        <v>16</v>
      </c>
      <c r="D21" t="s">
        <v>12</v>
      </c>
      <c r="E21" t="s">
        <v>13</v>
      </c>
      <c r="F21">
        <v>3</v>
      </c>
      <c r="G21">
        <v>125171.58</v>
      </c>
      <c r="H21">
        <v>30</v>
      </c>
      <c r="I21">
        <v>89</v>
      </c>
      <c r="J21" t="str">
        <f t="shared" si="0"/>
        <v>High Cost</v>
      </c>
      <c r="K21" t="str">
        <f t="shared" si="1"/>
        <v>Infant/Toddler</v>
      </c>
    </row>
    <row r="22" spans="1:11" x14ac:dyDescent="0.3">
      <c r="A22" t="s">
        <v>47</v>
      </c>
      <c r="B22" t="s">
        <v>15</v>
      </c>
      <c r="C22" t="s">
        <v>11</v>
      </c>
      <c r="D22" t="s">
        <v>26</v>
      </c>
      <c r="E22" t="s">
        <v>18</v>
      </c>
      <c r="F22">
        <v>31</v>
      </c>
      <c r="G22">
        <v>51842.34</v>
      </c>
      <c r="H22">
        <v>15</v>
      </c>
      <c r="I22">
        <v>74</v>
      </c>
      <c r="J22" t="str">
        <f t="shared" si="0"/>
        <v>Low  Cost</v>
      </c>
      <c r="K22" t="str">
        <f t="shared" si="1"/>
        <v>Adult</v>
      </c>
    </row>
    <row r="23" spans="1:11" x14ac:dyDescent="0.3">
      <c r="A23" t="s">
        <v>48</v>
      </c>
      <c r="B23" t="s">
        <v>36</v>
      </c>
      <c r="C23" t="s">
        <v>11</v>
      </c>
      <c r="D23" t="s">
        <v>26</v>
      </c>
      <c r="E23" t="s">
        <v>18</v>
      </c>
      <c r="F23">
        <v>66</v>
      </c>
      <c r="G23">
        <v>30547.73</v>
      </c>
      <c r="H23">
        <v>11</v>
      </c>
      <c r="I23">
        <v>47</v>
      </c>
      <c r="J23" t="str">
        <f t="shared" si="0"/>
        <v>Low  Cost</v>
      </c>
      <c r="K23" t="str">
        <f t="shared" si="1"/>
        <v>Senior</v>
      </c>
    </row>
    <row r="24" spans="1:11" x14ac:dyDescent="0.3">
      <c r="A24" t="s">
        <v>49</v>
      </c>
      <c r="B24" t="s">
        <v>22</v>
      </c>
      <c r="C24" t="s">
        <v>11</v>
      </c>
      <c r="D24" t="s">
        <v>32</v>
      </c>
      <c r="E24" t="s">
        <v>18</v>
      </c>
      <c r="F24">
        <v>68</v>
      </c>
      <c r="G24">
        <v>68961.679999999993</v>
      </c>
      <c r="H24">
        <v>5</v>
      </c>
      <c r="I24">
        <v>67</v>
      </c>
      <c r="J24" t="str">
        <f t="shared" si="0"/>
        <v>Low  Cost</v>
      </c>
      <c r="K24" t="str">
        <f t="shared" si="1"/>
        <v>Senior</v>
      </c>
    </row>
    <row r="25" spans="1:11" x14ac:dyDescent="0.3">
      <c r="A25" t="s">
        <v>50</v>
      </c>
      <c r="B25" t="s">
        <v>36</v>
      </c>
      <c r="C25" t="s">
        <v>11</v>
      </c>
      <c r="D25" t="s">
        <v>32</v>
      </c>
      <c r="E25" t="s">
        <v>29</v>
      </c>
      <c r="F25">
        <v>75</v>
      </c>
      <c r="G25">
        <v>89887.05</v>
      </c>
      <c r="H25">
        <v>28</v>
      </c>
      <c r="I25">
        <v>92</v>
      </c>
      <c r="J25" t="str">
        <f t="shared" si="0"/>
        <v>High Cost</v>
      </c>
      <c r="K25" t="str">
        <f t="shared" si="1"/>
        <v>Elderly</v>
      </c>
    </row>
    <row r="26" spans="1:11" x14ac:dyDescent="0.3">
      <c r="A26" t="s">
        <v>51</v>
      </c>
      <c r="B26" t="s">
        <v>15</v>
      </c>
      <c r="C26" t="s">
        <v>16</v>
      </c>
      <c r="D26" t="s">
        <v>12</v>
      </c>
      <c r="E26" t="s">
        <v>18</v>
      </c>
      <c r="F26">
        <v>35</v>
      </c>
      <c r="G26">
        <v>54350.5</v>
      </c>
      <c r="H26">
        <v>24</v>
      </c>
      <c r="I26">
        <v>70</v>
      </c>
      <c r="J26" t="str">
        <f t="shared" si="0"/>
        <v>Low  Cost</v>
      </c>
      <c r="K26" t="str">
        <f t="shared" si="1"/>
        <v>Adult</v>
      </c>
    </row>
    <row r="27" spans="1:11" x14ac:dyDescent="0.3">
      <c r="A27" t="s">
        <v>52</v>
      </c>
      <c r="B27" t="s">
        <v>31</v>
      </c>
      <c r="C27" t="s">
        <v>11</v>
      </c>
      <c r="D27" t="s">
        <v>23</v>
      </c>
      <c r="E27" t="s">
        <v>18</v>
      </c>
      <c r="F27">
        <v>56</v>
      </c>
      <c r="G27">
        <v>47635.12</v>
      </c>
      <c r="H27">
        <v>3</v>
      </c>
      <c r="I27">
        <v>47</v>
      </c>
      <c r="J27" t="str">
        <f t="shared" si="0"/>
        <v>Low  Cost</v>
      </c>
      <c r="K27" t="str">
        <f t="shared" si="1"/>
        <v>Middle-aged</v>
      </c>
    </row>
    <row r="28" spans="1:11" x14ac:dyDescent="0.3">
      <c r="A28" t="s">
        <v>53</v>
      </c>
      <c r="B28" t="s">
        <v>22</v>
      </c>
      <c r="C28" t="s">
        <v>41</v>
      </c>
      <c r="D28" t="s">
        <v>23</v>
      </c>
      <c r="E28" t="s">
        <v>29</v>
      </c>
      <c r="F28">
        <v>34</v>
      </c>
      <c r="G28">
        <v>136077.99</v>
      </c>
      <c r="H28">
        <v>25</v>
      </c>
      <c r="I28">
        <v>58</v>
      </c>
      <c r="J28" t="str">
        <f t="shared" si="0"/>
        <v>High Cost</v>
      </c>
      <c r="K28" t="str">
        <f t="shared" si="1"/>
        <v>Adult</v>
      </c>
    </row>
    <row r="29" spans="1:11" x14ac:dyDescent="0.3">
      <c r="A29" t="s">
        <v>54</v>
      </c>
      <c r="B29" t="s">
        <v>25</v>
      </c>
      <c r="C29" t="s">
        <v>11</v>
      </c>
      <c r="D29" t="s">
        <v>23</v>
      </c>
      <c r="E29" t="s">
        <v>18</v>
      </c>
      <c r="F29">
        <v>31</v>
      </c>
      <c r="G29">
        <v>103276.56</v>
      </c>
      <c r="H29">
        <v>30</v>
      </c>
      <c r="I29">
        <v>84</v>
      </c>
      <c r="J29" t="str">
        <f t="shared" si="0"/>
        <v>High Cost</v>
      </c>
      <c r="K29" t="str">
        <f t="shared" si="1"/>
        <v>Adult</v>
      </c>
    </row>
    <row r="30" spans="1:11" x14ac:dyDescent="0.3">
      <c r="A30" t="s">
        <v>55</v>
      </c>
      <c r="B30" t="s">
        <v>10</v>
      </c>
      <c r="C30" t="s">
        <v>41</v>
      </c>
      <c r="D30" t="s">
        <v>26</v>
      </c>
      <c r="E30" t="s">
        <v>18</v>
      </c>
      <c r="F30">
        <v>25</v>
      </c>
      <c r="G30">
        <v>38676.85</v>
      </c>
      <c r="H30">
        <v>9</v>
      </c>
      <c r="I30">
        <v>70</v>
      </c>
      <c r="J30" t="str">
        <f t="shared" si="0"/>
        <v>Low  Cost</v>
      </c>
      <c r="K30" t="str">
        <f t="shared" si="1"/>
        <v>Young Adult</v>
      </c>
    </row>
    <row r="31" spans="1:11" x14ac:dyDescent="0.3">
      <c r="A31" t="s">
        <v>56</v>
      </c>
      <c r="B31" t="s">
        <v>10</v>
      </c>
      <c r="C31" t="s">
        <v>41</v>
      </c>
      <c r="D31" t="s">
        <v>32</v>
      </c>
      <c r="E31" t="s">
        <v>29</v>
      </c>
      <c r="F31">
        <v>86</v>
      </c>
      <c r="G31">
        <v>35788.22</v>
      </c>
      <c r="H31">
        <v>3</v>
      </c>
      <c r="I31">
        <v>66</v>
      </c>
      <c r="J31" t="str">
        <f t="shared" si="0"/>
        <v>Low  Cost</v>
      </c>
      <c r="K31" t="str">
        <f t="shared" si="1"/>
        <v>Elderly</v>
      </c>
    </row>
    <row r="32" spans="1:11" x14ac:dyDescent="0.3">
      <c r="A32" t="s">
        <v>57</v>
      </c>
      <c r="B32" t="s">
        <v>36</v>
      </c>
      <c r="C32" t="s">
        <v>16</v>
      </c>
      <c r="D32" t="s">
        <v>12</v>
      </c>
      <c r="E32" t="s">
        <v>18</v>
      </c>
      <c r="F32">
        <v>79</v>
      </c>
      <c r="G32">
        <v>140415.63</v>
      </c>
      <c r="H32">
        <v>16</v>
      </c>
      <c r="I32">
        <v>67</v>
      </c>
      <c r="J32" t="str">
        <f t="shared" si="0"/>
        <v>High Cost</v>
      </c>
      <c r="K32" t="str">
        <f t="shared" si="1"/>
        <v>Elderly</v>
      </c>
    </row>
    <row r="33" spans="1:11" x14ac:dyDescent="0.3">
      <c r="A33" t="s">
        <v>58</v>
      </c>
      <c r="B33" t="s">
        <v>22</v>
      </c>
      <c r="C33" t="s">
        <v>41</v>
      </c>
      <c r="D33" t="s">
        <v>26</v>
      </c>
      <c r="E33" t="s">
        <v>18</v>
      </c>
      <c r="F33">
        <v>51</v>
      </c>
      <c r="G33">
        <v>143365.82999999999</v>
      </c>
      <c r="H33">
        <v>1</v>
      </c>
      <c r="I33">
        <v>58</v>
      </c>
      <c r="J33" t="str">
        <f t="shared" si="0"/>
        <v>High Cost</v>
      </c>
      <c r="K33" t="str">
        <f t="shared" si="1"/>
        <v>Middle-aged</v>
      </c>
    </row>
    <row r="34" spans="1:11" x14ac:dyDescent="0.3">
      <c r="A34" t="s">
        <v>59</v>
      </c>
      <c r="B34" t="s">
        <v>10</v>
      </c>
      <c r="C34" t="s">
        <v>16</v>
      </c>
      <c r="D34" t="s">
        <v>17</v>
      </c>
      <c r="E34" t="s">
        <v>18</v>
      </c>
      <c r="F34">
        <v>1</v>
      </c>
      <c r="G34">
        <v>101058.07</v>
      </c>
      <c r="H34">
        <v>4</v>
      </c>
      <c r="I34">
        <v>81</v>
      </c>
      <c r="J34" t="str">
        <f t="shared" ref="J34:J65" si="2">IF(G34&gt;75000,"High Cost", "Low  Cost")</f>
        <v>High Cost</v>
      </c>
      <c r="K34" t="str">
        <f t="shared" ref="K34:K65" si="3">IF(F34&lt;=5, "Infant/Toddler",
IF(F34&lt;=12,"Child",
IF(F34&lt;=19,"Teenager",
IF(F34&lt;=29,"Young Adult",
IF(F34&lt;=44,"Adult",
IF(F34&lt;=59,"Middle-aged",
IF(F34&lt;=74,"Senior","Elderly")))))))</f>
        <v>Infant/Toddler</v>
      </c>
    </row>
    <row r="35" spans="1:11" x14ac:dyDescent="0.3">
      <c r="A35" t="s">
        <v>60</v>
      </c>
      <c r="B35" t="s">
        <v>22</v>
      </c>
      <c r="C35" t="s">
        <v>11</v>
      </c>
      <c r="D35" t="s">
        <v>12</v>
      </c>
      <c r="E35" t="s">
        <v>29</v>
      </c>
      <c r="F35">
        <v>58</v>
      </c>
      <c r="G35">
        <v>41426.04</v>
      </c>
      <c r="H35">
        <v>6</v>
      </c>
      <c r="I35">
        <v>67</v>
      </c>
      <c r="J35" t="str">
        <f t="shared" si="2"/>
        <v>Low  Cost</v>
      </c>
      <c r="K35" t="str">
        <f t="shared" si="3"/>
        <v>Middle-aged</v>
      </c>
    </row>
    <row r="36" spans="1:11" x14ac:dyDescent="0.3">
      <c r="A36" t="s">
        <v>61</v>
      </c>
      <c r="B36" t="s">
        <v>22</v>
      </c>
      <c r="C36" t="s">
        <v>28</v>
      </c>
      <c r="D36" t="s">
        <v>17</v>
      </c>
      <c r="E36" t="s">
        <v>13</v>
      </c>
      <c r="F36">
        <v>15</v>
      </c>
      <c r="G36">
        <v>131454.59</v>
      </c>
      <c r="H36">
        <v>30</v>
      </c>
      <c r="I36">
        <v>83</v>
      </c>
      <c r="J36" t="str">
        <f t="shared" si="2"/>
        <v>High Cost</v>
      </c>
      <c r="K36" t="str">
        <f t="shared" si="3"/>
        <v>Teenager</v>
      </c>
    </row>
    <row r="37" spans="1:11" x14ac:dyDescent="0.3">
      <c r="A37" t="s">
        <v>62</v>
      </c>
      <c r="B37" t="s">
        <v>10</v>
      </c>
      <c r="C37" t="s">
        <v>16</v>
      </c>
      <c r="D37" t="s">
        <v>32</v>
      </c>
      <c r="E37" t="s">
        <v>13</v>
      </c>
      <c r="F37">
        <v>5</v>
      </c>
      <c r="G37">
        <v>48581.36</v>
      </c>
      <c r="H37">
        <v>16</v>
      </c>
      <c r="I37">
        <v>40</v>
      </c>
      <c r="J37" t="str">
        <f t="shared" si="2"/>
        <v>Low  Cost</v>
      </c>
      <c r="K37" t="str">
        <f t="shared" si="3"/>
        <v>Infant/Toddler</v>
      </c>
    </row>
    <row r="38" spans="1:11" x14ac:dyDescent="0.3">
      <c r="A38" t="s">
        <v>63</v>
      </c>
      <c r="B38" t="s">
        <v>15</v>
      </c>
      <c r="C38" t="s">
        <v>11</v>
      </c>
      <c r="D38" t="s">
        <v>17</v>
      </c>
      <c r="E38" t="s">
        <v>13</v>
      </c>
      <c r="F38">
        <v>41</v>
      </c>
      <c r="G38">
        <v>143381.07</v>
      </c>
      <c r="H38">
        <v>1</v>
      </c>
      <c r="I38">
        <v>87</v>
      </c>
      <c r="J38" t="str">
        <f t="shared" si="2"/>
        <v>High Cost</v>
      </c>
      <c r="K38" t="str">
        <f t="shared" si="3"/>
        <v>Adult</v>
      </c>
    </row>
    <row r="39" spans="1:11" x14ac:dyDescent="0.3">
      <c r="A39" t="s">
        <v>64</v>
      </c>
      <c r="B39" t="s">
        <v>15</v>
      </c>
      <c r="C39" t="s">
        <v>11</v>
      </c>
      <c r="D39" t="s">
        <v>17</v>
      </c>
      <c r="E39" t="s">
        <v>18</v>
      </c>
      <c r="F39">
        <v>3</v>
      </c>
      <c r="G39">
        <v>50045.440000000002</v>
      </c>
      <c r="H39">
        <v>15</v>
      </c>
      <c r="I39">
        <v>84</v>
      </c>
      <c r="J39" t="str">
        <f t="shared" si="2"/>
        <v>Low  Cost</v>
      </c>
      <c r="K39" t="str">
        <f t="shared" si="3"/>
        <v>Infant/Toddler</v>
      </c>
    </row>
    <row r="40" spans="1:11" x14ac:dyDescent="0.3">
      <c r="A40" t="s">
        <v>65</v>
      </c>
      <c r="B40" t="s">
        <v>22</v>
      </c>
      <c r="C40" t="s">
        <v>11</v>
      </c>
      <c r="D40" t="s">
        <v>17</v>
      </c>
      <c r="E40" t="s">
        <v>29</v>
      </c>
      <c r="F40">
        <v>58</v>
      </c>
      <c r="G40">
        <v>86479.95</v>
      </c>
      <c r="H40">
        <v>1</v>
      </c>
      <c r="I40">
        <v>75</v>
      </c>
      <c r="J40" t="str">
        <f t="shared" si="2"/>
        <v>High Cost</v>
      </c>
      <c r="K40" t="str">
        <f t="shared" si="3"/>
        <v>Middle-aged</v>
      </c>
    </row>
    <row r="41" spans="1:11" x14ac:dyDescent="0.3">
      <c r="A41" t="s">
        <v>66</v>
      </c>
      <c r="B41" t="s">
        <v>15</v>
      </c>
      <c r="C41" t="s">
        <v>41</v>
      </c>
      <c r="D41" t="s">
        <v>23</v>
      </c>
      <c r="E41" t="s">
        <v>18</v>
      </c>
      <c r="F41">
        <v>14</v>
      </c>
      <c r="G41">
        <v>9067.3799999999992</v>
      </c>
      <c r="H41">
        <v>28</v>
      </c>
      <c r="I41">
        <v>86</v>
      </c>
      <c r="J41" t="str">
        <f t="shared" si="2"/>
        <v>Low  Cost</v>
      </c>
      <c r="K41" t="str">
        <f t="shared" si="3"/>
        <v>Teenager</v>
      </c>
    </row>
    <row r="42" spans="1:11" x14ac:dyDescent="0.3">
      <c r="A42" t="s">
        <v>67</v>
      </c>
      <c r="B42" t="s">
        <v>15</v>
      </c>
      <c r="C42" t="s">
        <v>28</v>
      </c>
      <c r="D42" t="s">
        <v>23</v>
      </c>
      <c r="E42" t="s">
        <v>18</v>
      </c>
      <c r="F42">
        <v>31</v>
      </c>
      <c r="G42">
        <v>113414.83</v>
      </c>
      <c r="H42">
        <v>8</v>
      </c>
      <c r="I42">
        <v>70</v>
      </c>
      <c r="J42" t="str">
        <f t="shared" si="2"/>
        <v>High Cost</v>
      </c>
      <c r="K42" t="str">
        <f t="shared" si="3"/>
        <v>Adult</v>
      </c>
    </row>
    <row r="43" spans="1:11" x14ac:dyDescent="0.3">
      <c r="A43" t="s">
        <v>68</v>
      </c>
      <c r="B43" t="s">
        <v>31</v>
      </c>
      <c r="C43" t="s">
        <v>16</v>
      </c>
      <c r="D43" t="s">
        <v>12</v>
      </c>
      <c r="E43" t="s">
        <v>18</v>
      </c>
      <c r="F43">
        <v>85</v>
      </c>
      <c r="G43">
        <v>78946.19</v>
      </c>
      <c r="H43">
        <v>3</v>
      </c>
      <c r="I43">
        <v>48</v>
      </c>
      <c r="J43" t="str">
        <f t="shared" si="2"/>
        <v>High Cost</v>
      </c>
      <c r="K43" t="str">
        <f t="shared" si="3"/>
        <v>Elderly</v>
      </c>
    </row>
    <row r="44" spans="1:11" x14ac:dyDescent="0.3">
      <c r="A44" t="s">
        <v>69</v>
      </c>
      <c r="B44" t="s">
        <v>10</v>
      </c>
      <c r="C44" t="s">
        <v>11</v>
      </c>
      <c r="D44" t="s">
        <v>26</v>
      </c>
      <c r="E44" t="s">
        <v>18</v>
      </c>
      <c r="F44">
        <v>22</v>
      </c>
      <c r="G44">
        <v>100035.91</v>
      </c>
      <c r="H44">
        <v>29</v>
      </c>
      <c r="I44">
        <v>70</v>
      </c>
      <c r="J44" t="str">
        <f t="shared" si="2"/>
        <v>High Cost</v>
      </c>
      <c r="K44" t="str">
        <f t="shared" si="3"/>
        <v>Young Adult</v>
      </c>
    </row>
    <row r="45" spans="1:11" x14ac:dyDescent="0.3">
      <c r="A45" t="s">
        <v>70</v>
      </c>
      <c r="B45" t="s">
        <v>15</v>
      </c>
      <c r="C45" t="s">
        <v>28</v>
      </c>
      <c r="D45" t="s">
        <v>23</v>
      </c>
      <c r="E45" t="s">
        <v>18</v>
      </c>
      <c r="F45">
        <v>62</v>
      </c>
      <c r="G45">
        <v>149340.16</v>
      </c>
      <c r="H45">
        <v>18</v>
      </c>
      <c r="I45">
        <v>49</v>
      </c>
      <c r="J45" t="str">
        <f t="shared" si="2"/>
        <v>High Cost</v>
      </c>
      <c r="K45" t="str">
        <f t="shared" si="3"/>
        <v>Senior</v>
      </c>
    </row>
    <row r="46" spans="1:11" x14ac:dyDescent="0.3">
      <c r="A46" t="s">
        <v>71</v>
      </c>
      <c r="B46" t="s">
        <v>10</v>
      </c>
      <c r="C46" t="s">
        <v>11</v>
      </c>
      <c r="D46" t="s">
        <v>12</v>
      </c>
      <c r="E46" t="s">
        <v>13</v>
      </c>
      <c r="F46">
        <v>79</v>
      </c>
      <c r="G46">
        <v>105328.19</v>
      </c>
      <c r="H46">
        <v>26</v>
      </c>
      <c r="I46">
        <v>94</v>
      </c>
      <c r="J46" t="str">
        <f t="shared" si="2"/>
        <v>High Cost</v>
      </c>
      <c r="K46" t="str">
        <f t="shared" si="3"/>
        <v>Elderly</v>
      </c>
    </row>
    <row r="47" spans="1:11" x14ac:dyDescent="0.3">
      <c r="A47" t="s">
        <v>72</v>
      </c>
      <c r="B47" t="s">
        <v>10</v>
      </c>
      <c r="C47" t="s">
        <v>28</v>
      </c>
      <c r="D47" t="s">
        <v>12</v>
      </c>
      <c r="E47" t="s">
        <v>29</v>
      </c>
      <c r="F47">
        <v>19</v>
      </c>
      <c r="G47">
        <v>21826.12</v>
      </c>
      <c r="H47">
        <v>17</v>
      </c>
      <c r="I47">
        <v>48</v>
      </c>
      <c r="J47" t="str">
        <f t="shared" si="2"/>
        <v>Low  Cost</v>
      </c>
      <c r="K47" t="str">
        <f t="shared" si="3"/>
        <v>Teenager</v>
      </c>
    </row>
    <row r="48" spans="1:11" x14ac:dyDescent="0.3">
      <c r="A48" t="s">
        <v>73</v>
      </c>
      <c r="B48" t="s">
        <v>36</v>
      </c>
      <c r="C48" t="s">
        <v>11</v>
      </c>
      <c r="D48" t="s">
        <v>32</v>
      </c>
      <c r="E48" t="s">
        <v>18</v>
      </c>
      <c r="F48">
        <v>37</v>
      </c>
      <c r="G48">
        <v>77556.53</v>
      </c>
      <c r="H48">
        <v>24</v>
      </c>
      <c r="I48">
        <v>87</v>
      </c>
      <c r="J48" t="str">
        <f t="shared" si="2"/>
        <v>High Cost</v>
      </c>
      <c r="K48" t="str">
        <f t="shared" si="3"/>
        <v>Adult</v>
      </c>
    </row>
    <row r="49" spans="1:11" x14ac:dyDescent="0.3">
      <c r="A49" t="s">
        <v>74</v>
      </c>
      <c r="B49" t="s">
        <v>36</v>
      </c>
      <c r="C49" t="s">
        <v>28</v>
      </c>
      <c r="D49" t="s">
        <v>26</v>
      </c>
      <c r="E49" t="s">
        <v>18</v>
      </c>
      <c r="F49">
        <v>30</v>
      </c>
      <c r="G49">
        <v>53806.86</v>
      </c>
      <c r="H49">
        <v>21</v>
      </c>
      <c r="I49">
        <v>82</v>
      </c>
      <c r="J49" t="str">
        <f t="shared" si="2"/>
        <v>Low  Cost</v>
      </c>
      <c r="K49" t="str">
        <f t="shared" si="3"/>
        <v>Adult</v>
      </c>
    </row>
    <row r="50" spans="1:11" x14ac:dyDescent="0.3">
      <c r="A50" t="s">
        <v>75</v>
      </c>
      <c r="B50" t="s">
        <v>15</v>
      </c>
      <c r="C50" t="s">
        <v>41</v>
      </c>
      <c r="D50" t="s">
        <v>12</v>
      </c>
      <c r="E50" t="s">
        <v>18</v>
      </c>
      <c r="F50">
        <v>66</v>
      </c>
      <c r="G50">
        <v>84096.91</v>
      </c>
      <c r="H50">
        <v>18</v>
      </c>
      <c r="I50">
        <v>91</v>
      </c>
      <c r="J50" t="str">
        <f t="shared" si="2"/>
        <v>High Cost</v>
      </c>
      <c r="K50" t="str">
        <f t="shared" si="3"/>
        <v>Senior</v>
      </c>
    </row>
    <row r="51" spans="1:11" x14ac:dyDescent="0.3">
      <c r="A51" t="s">
        <v>76</v>
      </c>
      <c r="B51" t="s">
        <v>10</v>
      </c>
      <c r="C51" t="s">
        <v>28</v>
      </c>
      <c r="D51" t="s">
        <v>12</v>
      </c>
      <c r="E51" t="s">
        <v>18</v>
      </c>
      <c r="F51">
        <v>22</v>
      </c>
      <c r="G51">
        <v>46384.67</v>
      </c>
      <c r="H51">
        <v>3</v>
      </c>
      <c r="I51">
        <v>84</v>
      </c>
      <c r="J51" t="str">
        <f t="shared" si="2"/>
        <v>Low  Cost</v>
      </c>
      <c r="K51" t="str">
        <f t="shared" si="3"/>
        <v>Young Adult</v>
      </c>
    </row>
    <row r="52" spans="1:11" x14ac:dyDescent="0.3">
      <c r="A52" t="s">
        <v>77</v>
      </c>
      <c r="B52" t="s">
        <v>10</v>
      </c>
      <c r="C52" t="s">
        <v>28</v>
      </c>
      <c r="D52" t="s">
        <v>17</v>
      </c>
      <c r="E52" t="s">
        <v>18</v>
      </c>
      <c r="F52">
        <v>60</v>
      </c>
      <c r="G52">
        <v>122442.43</v>
      </c>
      <c r="H52">
        <v>6</v>
      </c>
      <c r="I52">
        <v>94</v>
      </c>
      <c r="J52" t="str">
        <f t="shared" si="2"/>
        <v>High Cost</v>
      </c>
      <c r="K52" t="str">
        <f t="shared" si="3"/>
        <v>Senior</v>
      </c>
    </row>
    <row r="53" spans="1:11" x14ac:dyDescent="0.3">
      <c r="A53" t="s">
        <v>78</v>
      </c>
      <c r="B53" t="s">
        <v>31</v>
      </c>
      <c r="C53" t="s">
        <v>16</v>
      </c>
      <c r="D53" t="s">
        <v>12</v>
      </c>
      <c r="E53" t="s">
        <v>29</v>
      </c>
      <c r="F53">
        <v>35</v>
      </c>
      <c r="G53">
        <v>73863.679999999993</v>
      </c>
      <c r="H53">
        <v>17</v>
      </c>
      <c r="I53">
        <v>42</v>
      </c>
      <c r="J53" t="str">
        <f t="shared" si="2"/>
        <v>Low  Cost</v>
      </c>
      <c r="K53" t="str">
        <f t="shared" si="3"/>
        <v>Adult</v>
      </c>
    </row>
    <row r="54" spans="1:11" x14ac:dyDescent="0.3">
      <c r="A54" t="s">
        <v>79</v>
      </c>
      <c r="B54" t="s">
        <v>22</v>
      </c>
      <c r="C54" t="s">
        <v>11</v>
      </c>
      <c r="D54" t="s">
        <v>23</v>
      </c>
      <c r="E54" t="s">
        <v>13</v>
      </c>
      <c r="F54">
        <v>21</v>
      </c>
      <c r="G54">
        <v>75334.19</v>
      </c>
      <c r="H54">
        <v>23</v>
      </c>
      <c r="I54">
        <v>51</v>
      </c>
      <c r="J54" t="str">
        <f t="shared" si="2"/>
        <v>High Cost</v>
      </c>
      <c r="K54" t="str">
        <f t="shared" si="3"/>
        <v>Young Adult</v>
      </c>
    </row>
    <row r="55" spans="1:11" x14ac:dyDescent="0.3">
      <c r="A55" t="s">
        <v>80</v>
      </c>
      <c r="B55" t="s">
        <v>31</v>
      </c>
      <c r="C55" t="s">
        <v>28</v>
      </c>
      <c r="D55" t="s">
        <v>17</v>
      </c>
      <c r="E55" t="s">
        <v>29</v>
      </c>
      <c r="F55">
        <v>51</v>
      </c>
      <c r="G55">
        <v>59829.99</v>
      </c>
      <c r="H55">
        <v>2</v>
      </c>
      <c r="I55">
        <v>40</v>
      </c>
      <c r="J55" t="str">
        <f t="shared" si="2"/>
        <v>Low  Cost</v>
      </c>
      <c r="K55" t="str">
        <f t="shared" si="3"/>
        <v>Middle-aged</v>
      </c>
    </row>
    <row r="56" spans="1:11" x14ac:dyDescent="0.3">
      <c r="A56" t="s">
        <v>81</v>
      </c>
      <c r="B56" t="s">
        <v>31</v>
      </c>
      <c r="C56" t="s">
        <v>28</v>
      </c>
      <c r="D56" t="s">
        <v>32</v>
      </c>
      <c r="E56" t="s">
        <v>13</v>
      </c>
      <c r="F56">
        <v>87</v>
      </c>
      <c r="G56">
        <v>5444.8</v>
      </c>
      <c r="H56">
        <v>5</v>
      </c>
      <c r="I56">
        <v>42</v>
      </c>
      <c r="J56" t="str">
        <f t="shared" si="2"/>
        <v>Low  Cost</v>
      </c>
      <c r="K56" t="str">
        <f t="shared" si="3"/>
        <v>Elderly</v>
      </c>
    </row>
    <row r="57" spans="1:11" x14ac:dyDescent="0.3">
      <c r="A57" t="s">
        <v>82</v>
      </c>
      <c r="B57" t="s">
        <v>25</v>
      </c>
      <c r="C57" t="s">
        <v>11</v>
      </c>
      <c r="D57" t="s">
        <v>17</v>
      </c>
      <c r="E57" t="s">
        <v>18</v>
      </c>
      <c r="F57">
        <v>11</v>
      </c>
      <c r="G57">
        <v>39022.85</v>
      </c>
      <c r="H57">
        <v>8</v>
      </c>
      <c r="I57">
        <v>96</v>
      </c>
      <c r="J57" t="str">
        <f t="shared" si="2"/>
        <v>Low  Cost</v>
      </c>
      <c r="K57" t="str">
        <f t="shared" si="3"/>
        <v>Child</v>
      </c>
    </row>
    <row r="58" spans="1:11" x14ac:dyDescent="0.3">
      <c r="A58" t="s">
        <v>83</v>
      </c>
      <c r="B58" t="s">
        <v>15</v>
      </c>
      <c r="C58" t="s">
        <v>11</v>
      </c>
      <c r="D58" t="s">
        <v>12</v>
      </c>
      <c r="E58" t="s">
        <v>18</v>
      </c>
      <c r="F58">
        <v>7</v>
      </c>
      <c r="G58">
        <v>127110.45</v>
      </c>
      <c r="H58">
        <v>30</v>
      </c>
      <c r="I58">
        <v>100</v>
      </c>
      <c r="J58" t="str">
        <f t="shared" si="2"/>
        <v>High Cost</v>
      </c>
      <c r="K58" t="str">
        <f t="shared" si="3"/>
        <v>Child</v>
      </c>
    </row>
    <row r="59" spans="1:11" x14ac:dyDescent="0.3">
      <c r="A59" t="s">
        <v>84</v>
      </c>
      <c r="B59" t="s">
        <v>25</v>
      </c>
      <c r="C59" t="s">
        <v>16</v>
      </c>
      <c r="D59" t="s">
        <v>17</v>
      </c>
      <c r="E59" t="s">
        <v>29</v>
      </c>
      <c r="F59">
        <v>80</v>
      </c>
      <c r="G59">
        <v>120082.46</v>
      </c>
      <c r="H59">
        <v>16</v>
      </c>
      <c r="I59">
        <v>93</v>
      </c>
      <c r="J59" t="str">
        <f t="shared" si="2"/>
        <v>High Cost</v>
      </c>
      <c r="K59" t="str">
        <f t="shared" si="3"/>
        <v>Elderly</v>
      </c>
    </row>
    <row r="60" spans="1:11" x14ac:dyDescent="0.3">
      <c r="A60" t="s">
        <v>85</v>
      </c>
      <c r="B60" t="s">
        <v>15</v>
      </c>
      <c r="C60" t="s">
        <v>28</v>
      </c>
      <c r="D60" t="s">
        <v>17</v>
      </c>
      <c r="E60" t="s">
        <v>18</v>
      </c>
      <c r="F60">
        <v>75</v>
      </c>
      <c r="G60">
        <v>79671.37</v>
      </c>
      <c r="H60">
        <v>30</v>
      </c>
      <c r="I60">
        <v>43</v>
      </c>
      <c r="J60" t="str">
        <f t="shared" si="2"/>
        <v>High Cost</v>
      </c>
      <c r="K60" t="str">
        <f t="shared" si="3"/>
        <v>Elderly</v>
      </c>
    </row>
    <row r="61" spans="1:11" x14ac:dyDescent="0.3">
      <c r="A61" t="s">
        <v>86</v>
      </c>
      <c r="B61" t="s">
        <v>10</v>
      </c>
      <c r="C61" t="s">
        <v>41</v>
      </c>
      <c r="D61" t="s">
        <v>12</v>
      </c>
      <c r="E61" t="s">
        <v>18</v>
      </c>
      <c r="F61">
        <v>7</v>
      </c>
      <c r="G61">
        <v>66277.52</v>
      </c>
      <c r="H61">
        <v>26</v>
      </c>
      <c r="I61">
        <v>69</v>
      </c>
      <c r="J61" t="str">
        <f t="shared" si="2"/>
        <v>Low  Cost</v>
      </c>
      <c r="K61" t="str">
        <f t="shared" si="3"/>
        <v>Child</v>
      </c>
    </row>
    <row r="62" spans="1:11" x14ac:dyDescent="0.3">
      <c r="A62" t="s">
        <v>87</v>
      </c>
      <c r="B62" t="s">
        <v>22</v>
      </c>
      <c r="C62" t="s">
        <v>11</v>
      </c>
      <c r="D62" t="s">
        <v>32</v>
      </c>
      <c r="E62" t="s">
        <v>13</v>
      </c>
      <c r="F62">
        <v>14</v>
      </c>
      <c r="G62">
        <v>12241.3</v>
      </c>
      <c r="H62">
        <v>20</v>
      </c>
      <c r="I62">
        <v>40</v>
      </c>
      <c r="J62" t="str">
        <f t="shared" si="2"/>
        <v>Low  Cost</v>
      </c>
      <c r="K62" t="str">
        <f t="shared" si="3"/>
        <v>Teenager</v>
      </c>
    </row>
    <row r="63" spans="1:11" x14ac:dyDescent="0.3">
      <c r="A63" t="s">
        <v>88</v>
      </c>
      <c r="B63" t="s">
        <v>36</v>
      </c>
      <c r="C63" t="s">
        <v>28</v>
      </c>
      <c r="D63" t="s">
        <v>17</v>
      </c>
      <c r="E63" t="s">
        <v>18</v>
      </c>
      <c r="F63">
        <v>22</v>
      </c>
      <c r="G63">
        <v>133882.43</v>
      </c>
      <c r="H63">
        <v>29</v>
      </c>
      <c r="I63">
        <v>63</v>
      </c>
      <c r="J63" t="str">
        <f t="shared" si="2"/>
        <v>High Cost</v>
      </c>
      <c r="K63" t="str">
        <f t="shared" si="3"/>
        <v>Young Adult</v>
      </c>
    </row>
    <row r="64" spans="1:11" x14ac:dyDescent="0.3">
      <c r="A64" t="s">
        <v>89</v>
      </c>
      <c r="B64" t="s">
        <v>25</v>
      </c>
      <c r="C64" t="s">
        <v>41</v>
      </c>
      <c r="D64" t="s">
        <v>12</v>
      </c>
      <c r="E64" t="s">
        <v>29</v>
      </c>
      <c r="F64">
        <v>73</v>
      </c>
      <c r="G64">
        <v>148488.95000000001</v>
      </c>
      <c r="H64">
        <v>22</v>
      </c>
      <c r="I64">
        <v>77</v>
      </c>
      <c r="J64" t="str">
        <f t="shared" si="2"/>
        <v>High Cost</v>
      </c>
      <c r="K64" t="str">
        <f t="shared" si="3"/>
        <v>Senior</v>
      </c>
    </row>
    <row r="65" spans="1:11" x14ac:dyDescent="0.3">
      <c r="A65" t="s">
        <v>90</v>
      </c>
      <c r="B65" t="s">
        <v>31</v>
      </c>
      <c r="C65" t="s">
        <v>16</v>
      </c>
      <c r="D65" t="s">
        <v>12</v>
      </c>
      <c r="E65" t="s">
        <v>29</v>
      </c>
      <c r="F65">
        <v>5</v>
      </c>
      <c r="G65">
        <v>74239.37</v>
      </c>
      <c r="H65">
        <v>7</v>
      </c>
      <c r="I65">
        <v>61</v>
      </c>
      <c r="J65" t="str">
        <f t="shared" si="2"/>
        <v>Low  Cost</v>
      </c>
      <c r="K65" t="str">
        <f t="shared" si="3"/>
        <v>Infant/Toddler</v>
      </c>
    </row>
    <row r="66" spans="1:11" x14ac:dyDescent="0.3">
      <c r="A66" t="s">
        <v>91</v>
      </c>
      <c r="B66" t="s">
        <v>22</v>
      </c>
      <c r="C66" t="s">
        <v>16</v>
      </c>
      <c r="D66" t="s">
        <v>32</v>
      </c>
      <c r="E66" t="s">
        <v>18</v>
      </c>
      <c r="F66">
        <v>6</v>
      </c>
      <c r="G66">
        <v>98732.94</v>
      </c>
      <c r="H66">
        <v>25</v>
      </c>
      <c r="I66">
        <v>45</v>
      </c>
      <c r="J66" t="str">
        <f t="shared" ref="J66:J97" si="4">IF(G66&gt;75000,"High Cost", "Low  Cost")</f>
        <v>High Cost</v>
      </c>
      <c r="K66" t="str">
        <f t="shared" ref="K66:K97" si="5">IF(F66&lt;=5, "Infant/Toddler",
IF(F66&lt;=12,"Child",
IF(F66&lt;=19,"Teenager",
IF(F66&lt;=29,"Young Adult",
IF(F66&lt;=44,"Adult",
IF(F66&lt;=59,"Middle-aged",
IF(F66&lt;=74,"Senior","Elderly")))))))</f>
        <v>Child</v>
      </c>
    </row>
    <row r="67" spans="1:11" x14ac:dyDescent="0.3">
      <c r="A67" t="s">
        <v>92</v>
      </c>
      <c r="B67" t="s">
        <v>10</v>
      </c>
      <c r="C67" t="s">
        <v>11</v>
      </c>
      <c r="D67" t="s">
        <v>23</v>
      </c>
      <c r="E67" t="s">
        <v>13</v>
      </c>
      <c r="F67">
        <v>4</v>
      </c>
      <c r="G67">
        <v>66339.33</v>
      </c>
      <c r="H67">
        <v>5</v>
      </c>
      <c r="I67">
        <v>77</v>
      </c>
      <c r="J67" t="str">
        <f t="shared" si="4"/>
        <v>Low  Cost</v>
      </c>
      <c r="K67" t="str">
        <f t="shared" si="5"/>
        <v>Infant/Toddler</v>
      </c>
    </row>
    <row r="68" spans="1:11" x14ac:dyDescent="0.3">
      <c r="A68" t="s">
        <v>93</v>
      </c>
      <c r="B68" t="s">
        <v>10</v>
      </c>
      <c r="C68" t="s">
        <v>16</v>
      </c>
      <c r="D68" t="s">
        <v>32</v>
      </c>
      <c r="E68" t="s">
        <v>18</v>
      </c>
      <c r="F68">
        <v>14</v>
      </c>
      <c r="G68">
        <v>113363.27</v>
      </c>
      <c r="H68">
        <v>9</v>
      </c>
      <c r="I68">
        <v>74</v>
      </c>
      <c r="J68" t="str">
        <f t="shared" si="4"/>
        <v>High Cost</v>
      </c>
      <c r="K68" t="str">
        <f t="shared" si="5"/>
        <v>Teenager</v>
      </c>
    </row>
    <row r="69" spans="1:11" x14ac:dyDescent="0.3">
      <c r="A69" t="s">
        <v>94</v>
      </c>
      <c r="B69" t="s">
        <v>10</v>
      </c>
      <c r="C69" t="s">
        <v>16</v>
      </c>
      <c r="D69" t="s">
        <v>32</v>
      </c>
      <c r="E69" t="s">
        <v>13</v>
      </c>
      <c r="F69">
        <v>11</v>
      </c>
      <c r="G69">
        <v>24492.09</v>
      </c>
      <c r="H69">
        <v>8</v>
      </c>
      <c r="I69">
        <v>58</v>
      </c>
      <c r="J69" t="str">
        <f t="shared" si="4"/>
        <v>Low  Cost</v>
      </c>
      <c r="K69" t="str">
        <f t="shared" si="5"/>
        <v>Child</v>
      </c>
    </row>
    <row r="70" spans="1:11" x14ac:dyDescent="0.3">
      <c r="A70" t="s">
        <v>95</v>
      </c>
      <c r="B70" t="s">
        <v>25</v>
      </c>
      <c r="C70" t="s">
        <v>16</v>
      </c>
      <c r="D70" t="s">
        <v>32</v>
      </c>
      <c r="E70" t="s">
        <v>13</v>
      </c>
      <c r="F70">
        <v>19</v>
      </c>
      <c r="G70">
        <v>42080.85</v>
      </c>
      <c r="H70">
        <v>29</v>
      </c>
      <c r="I70">
        <v>65</v>
      </c>
      <c r="J70" t="str">
        <f t="shared" si="4"/>
        <v>Low  Cost</v>
      </c>
      <c r="K70" t="str">
        <f t="shared" si="5"/>
        <v>Teenager</v>
      </c>
    </row>
    <row r="71" spans="1:11" x14ac:dyDescent="0.3">
      <c r="A71" t="s">
        <v>96</v>
      </c>
      <c r="B71" t="s">
        <v>31</v>
      </c>
      <c r="C71" t="s">
        <v>16</v>
      </c>
      <c r="D71" t="s">
        <v>23</v>
      </c>
      <c r="E71" t="s">
        <v>29</v>
      </c>
      <c r="F71">
        <v>56</v>
      </c>
      <c r="G71">
        <v>147658.16</v>
      </c>
      <c r="H71">
        <v>11</v>
      </c>
      <c r="I71">
        <v>96</v>
      </c>
      <c r="J71" t="str">
        <f t="shared" si="4"/>
        <v>High Cost</v>
      </c>
      <c r="K71" t="str">
        <f t="shared" si="5"/>
        <v>Middle-aged</v>
      </c>
    </row>
    <row r="72" spans="1:11" x14ac:dyDescent="0.3">
      <c r="A72" t="s">
        <v>97</v>
      </c>
      <c r="B72" t="s">
        <v>22</v>
      </c>
      <c r="C72" t="s">
        <v>16</v>
      </c>
      <c r="D72" t="s">
        <v>12</v>
      </c>
      <c r="E72" t="s">
        <v>13</v>
      </c>
      <c r="F72">
        <v>40</v>
      </c>
      <c r="G72">
        <v>79386.600000000006</v>
      </c>
      <c r="H72">
        <v>21</v>
      </c>
      <c r="I72">
        <v>67</v>
      </c>
      <c r="J72" t="str">
        <f t="shared" si="4"/>
        <v>High Cost</v>
      </c>
      <c r="K72" t="str">
        <f t="shared" si="5"/>
        <v>Adult</v>
      </c>
    </row>
    <row r="73" spans="1:11" x14ac:dyDescent="0.3">
      <c r="A73" t="s">
        <v>98</v>
      </c>
      <c r="B73" t="s">
        <v>36</v>
      </c>
      <c r="C73" t="s">
        <v>41</v>
      </c>
      <c r="D73" t="s">
        <v>17</v>
      </c>
      <c r="E73" t="s">
        <v>18</v>
      </c>
      <c r="F73">
        <v>6</v>
      </c>
      <c r="G73">
        <v>22175.37</v>
      </c>
      <c r="H73">
        <v>17</v>
      </c>
      <c r="I73">
        <v>82</v>
      </c>
      <c r="J73" t="str">
        <f t="shared" si="4"/>
        <v>Low  Cost</v>
      </c>
      <c r="K73" t="str">
        <f t="shared" si="5"/>
        <v>Child</v>
      </c>
    </row>
    <row r="74" spans="1:11" x14ac:dyDescent="0.3">
      <c r="A74" t="s">
        <v>99</v>
      </c>
      <c r="B74" t="s">
        <v>31</v>
      </c>
      <c r="C74" t="s">
        <v>28</v>
      </c>
      <c r="D74" t="s">
        <v>12</v>
      </c>
      <c r="E74" t="s">
        <v>29</v>
      </c>
      <c r="F74">
        <v>62</v>
      </c>
      <c r="G74">
        <v>16296.15</v>
      </c>
      <c r="H74">
        <v>28</v>
      </c>
      <c r="I74">
        <v>63</v>
      </c>
      <c r="J74" t="str">
        <f t="shared" si="4"/>
        <v>Low  Cost</v>
      </c>
      <c r="K74" t="str">
        <f t="shared" si="5"/>
        <v>Senior</v>
      </c>
    </row>
    <row r="75" spans="1:11" x14ac:dyDescent="0.3">
      <c r="A75" t="s">
        <v>100</v>
      </c>
      <c r="B75" t="s">
        <v>31</v>
      </c>
      <c r="C75" t="s">
        <v>41</v>
      </c>
      <c r="D75" t="s">
        <v>12</v>
      </c>
      <c r="E75" t="s">
        <v>29</v>
      </c>
      <c r="F75">
        <v>56</v>
      </c>
      <c r="G75">
        <v>120488.57</v>
      </c>
      <c r="H75">
        <v>30</v>
      </c>
      <c r="I75">
        <v>48</v>
      </c>
      <c r="J75" t="str">
        <f t="shared" si="4"/>
        <v>High Cost</v>
      </c>
      <c r="K75" t="str">
        <f t="shared" si="5"/>
        <v>Middle-aged</v>
      </c>
    </row>
    <row r="76" spans="1:11" x14ac:dyDescent="0.3">
      <c r="A76" t="s">
        <v>101</v>
      </c>
      <c r="B76" t="s">
        <v>22</v>
      </c>
      <c r="C76" t="s">
        <v>28</v>
      </c>
      <c r="D76" t="s">
        <v>12</v>
      </c>
      <c r="E76" t="s">
        <v>13</v>
      </c>
      <c r="F76">
        <v>8</v>
      </c>
      <c r="G76">
        <v>111873.66</v>
      </c>
      <c r="H76">
        <v>16</v>
      </c>
      <c r="I76">
        <v>74</v>
      </c>
      <c r="J76" t="str">
        <f t="shared" si="4"/>
        <v>High Cost</v>
      </c>
      <c r="K76" t="str">
        <f t="shared" si="5"/>
        <v>Child</v>
      </c>
    </row>
    <row r="77" spans="1:11" x14ac:dyDescent="0.3">
      <c r="A77" t="s">
        <v>102</v>
      </c>
      <c r="B77" t="s">
        <v>22</v>
      </c>
      <c r="C77" t="s">
        <v>16</v>
      </c>
      <c r="D77" t="s">
        <v>23</v>
      </c>
      <c r="E77" t="s">
        <v>18</v>
      </c>
      <c r="F77">
        <v>62</v>
      </c>
      <c r="G77">
        <v>27610.65</v>
      </c>
      <c r="H77">
        <v>26</v>
      </c>
      <c r="I77">
        <v>72</v>
      </c>
      <c r="J77" t="str">
        <f t="shared" si="4"/>
        <v>Low  Cost</v>
      </c>
      <c r="K77" t="str">
        <f t="shared" si="5"/>
        <v>Senior</v>
      </c>
    </row>
    <row r="78" spans="1:11" x14ac:dyDescent="0.3">
      <c r="A78" t="s">
        <v>103</v>
      </c>
      <c r="B78" t="s">
        <v>22</v>
      </c>
      <c r="C78" t="s">
        <v>41</v>
      </c>
      <c r="D78" t="s">
        <v>32</v>
      </c>
      <c r="E78" t="s">
        <v>29</v>
      </c>
      <c r="F78">
        <v>17</v>
      </c>
      <c r="G78">
        <v>142458.98000000001</v>
      </c>
      <c r="H78">
        <v>6</v>
      </c>
      <c r="I78">
        <v>69</v>
      </c>
      <c r="J78" t="str">
        <f t="shared" si="4"/>
        <v>High Cost</v>
      </c>
      <c r="K78" t="str">
        <f t="shared" si="5"/>
        <v>Teenager</v>
      </c>
    </row>
    <row r="79" spans="1:11" x14ac:dyDescent="0.3">
      <c r="A79" t="s">
        <v>104</v>
      </c>
      <c r="B79" t="s">
        <v>22</v>
      </c>
      <c r="C79" t="s">
        <v>11</v>
      </c>
      <c r="D79" t="s">
        <v>23</v>
      </c>
      <c r="E79" t="s">
        <v>29</v>
      </c>
      <c r="F79">
        <v>7</v>
      </c>
      <c r="G79">
        <v>23799.83</v>
      </c>
      <c r="H79">
        <v>26</v>
      </c>
      <c r="I79">
        <v>52</v>
      </c>
      <c r="J79" t="str">
        <f t="shared" si="4"/>
        <v>Low  Cost</v>
      </c>
      <c r="K79" t="str">
        <f t="shared" si="5"/>
        <v>Child</v>
      </c>
    </row>
    <row r="80" spans="1:11" x14ac:dyDescent="0.3">
      <c r="A80" t="s">
        <v>105</v>
      </c>
      <c r="B80" t="s">
        <v>36</v>
      </c>
      <c r="C80" t="s">
        <v>41</v>
      </c>
      <c r="D80" t="s">
        <v>12</v>
      </c>
      <c r="E80" t="s">
        <v>29</v>
      </c>
      <c r="F80">
        <v>49</v>
      </c>
      <c r="G80">
        <v>117019.47</v>
      </c>
      <c r="H80">
        <v>28</v>
      </c>
      <c r="I80">
        <v>63</v>
      </c>
      <c r="J80" t="str">
        <f t="shared" si="4"/>
        <v>High Cost</v>
      </c>
      <c r="K80" t="str">
        <f t="shared" si="5"/>
        <v>Middle-aged</v>
      </c>
    </row>
    <row r="81" spans="1:11" x14ac:dyDescent="0.3">
      <c r="A81" t="s">
        <v>106</v>
      </c>
      <c r="B81" t="s">
        <v>36</v>
      </c>
      <c r="C81" t="s">
        <v>11</v>
      </c>
      <c r="D81" t="s">
        <v>32</v>
      </c>
      <c r="E81" t="s">
        <v>29</v>
      </c>
      <c r="F81">
        <v>12</v>
      </c>
      <c r="G81">
        <v>69472.05</v>
      </c>
      <c r="H81">
        <v>11</v>
      </c>
      <c r="I81">
        <v>68</v>
      </c>
      <c r="J81" t="str">
        <f t="shared" si="4"/>
        <v>Low  Cost</v>
      </c>
      <c r="K81" t="str">
        <f t="shared" si="5"/>
        <v>Child</v>
      </c>
    </row>
    <row r="82" spans="1:11" x14ac:dyDescent="0.3">
      <c r="A82" t="s">
        <v>107</v>
      </c>
      <c r="B82" t="s">
        <v>25</v>
      </c>
      <c r="C82" t="s">
        <v>11</v>
      </c>
      <c r="D82" t="s">
        <v>32</v>
      </c>
      <c r="E82" t="s">
        <v>13</v>
      </c>
      <c r="F82">
        <v>5</v>
      </c>
      <c r="G82">
        <v>64103.040000000001</v>
      </c>
      <c r="H82">
        <v>14</v>
      </c>
      <c r="I82">
        <v>42</v>
      </c>
      <c r="J82" t="str">
        <f t="shared" si="4"/>
        <v>Low  Cost</v>
      </c>
      <c r="K82" t="str">
        <f t="shared" si="5"/>
        <v>Infant/Toddler</v>
      </c>
    </row>
    <row r="83" spans="1:11" x14ac:dyDescent="0.3">
      <c r="A83" t="s">
        <v>108</v>
      </c>
      <c r="B83" t="s">
        <v>22</v>
      </c>
      <c r="C83" t="s">
        <v>11</v>
      </c>
      <c r="D83" t="s">
        <v>12</v>
      </c>
      <c r="E83" t="s">
        <v>29</v>
      </c>
      <c r="F83">
        <v>13</v>
      </c>
      <c r="G83">
        <v>137441.75</v>
      </c>
      <c r="H83">
        <v>23</v>
      </c>
      <c r="I83">
        <v>74</v>
      </c>
      <c r="J83" t="str">
        <f t="shared" si="4"/>
        <v>High Cost</v>
      </c>
      <c r="K83" t="str">
        <f t="shared" si="5"/>
        <v>Teenager</v>
      </c>
    </row>
    <row r="84" spans="1:11" x14ac:dyDescent="0.3">
      <c r="A84" t="s">
        <v>109</v>
      </c>
      <c r="B84" t="s">
        <v>25</v>
      </c>
      <c r="C84" t="s">
        <v>11</v>
      </c>
      <c r="D84" t="s">
        <v>23</v>
      </c>
      <c r="E84" t="s">
        <v>13</v>
      </c>
      <c r="F84">
        <v>71</v>
      </c>
      <c r="G84">
        <v>11066.61</v>
      </c>
      <c r="H84">
        <v>17</v>
      </c>
      <c r="I84">
        <v>86</v>
      </c>
      <c r="J84" t="str">
        <f t="shared" si="4"/>
        <v>Low  Cost</v>
      </c>
      <c r="K84" t="str">
        <f t="shared" si="5"/>
        <v>Senior</v>
      </c>
    </row>
    <row r="85" spans="1:11" x14ac:dyDescent="0.3">
      <c r="A85" t="s">
        <v>110</v>
      </c>
      <c r="B85" t="s">
        <v>31</v>
      </c>
      <c r="C85" t="s">
        <v>16</v>
      </c>
      <c r="D85" t="s">
        <v>26</v>
      </c>
      <c r="E85" t="s">
        <v>13</v>
      </c>
      <c r="F85">
        <v>87</v>
      </c>
      <c r="G85">
        <v>36726.76</v>
      </c>
      <c r="H85">
        <v>4</v>
      </c>
      <c r="I85">
        <v>53</v>
      </c>
      <c r="J85" t="str">
        <f t="shared" si="4"/>
        <v>Low  Cost</v>
      </c>
      <c r="K85" t="str">
        <f t="shared" si="5"/>
        <v>Elderly</v>
      </c>
    </row>
    <row r="86" spans="1:11" x14ac:dyDescent="0.3">
      <c r="A86" t="s">
        <v>111</v>
      </c>
      <c r="B86" t="s">
        <v>15</v>
      </c>
      <c r="C86" t="s">
        <v>16</v>
      </c>
      <c r="D86" t="s">
        <v>17</v>
      </c>
      <c r="E86" t="s">
        <v>29</v>
      </c>
      <c r="F86">
        <v>40</v>
      </c>
      <c r="G86">
        <v>19717.900000000001</v>
      </c>
      <c r="H86">
        <v>20</v>
      </c>
      <c r="I86">
        <v>63</v>
      </c>
      <c r="J86" t="str">
        <f t="shared" si="4"/>
        <v>Low  Cost</v>
      </c>
      <c r="K86" t="str">
        <f t="shared" si="5"/>
        <v>Adult</v>
      </c>
    </row>
    <row r="87" spans="1:11" x14ac:dyDescent="0.3">
      <c r="A87" t="s">
        <v>112</v>
      </c>
      <c r="B87" t="s">
        <v>36</v>
      </c>
      <c r="C87" t="s">
        <v>16</v>
      </c>
      <c r="D87" t="s">
        <v>26</v>
      </c>
      <c r="E87" t="s">
        <v>29</v>
      </c>
      <c r="F87">
        <v>63</v>
      </c>
      <c r="G87">
        <v>82657.039999999994</v>
      </c>
      <c r="H87">
        <v>4</v>
      </c>
      <c r="I87">
        <v>55</v>
      </c>
      <c r="J87" t="str">
        <f t="shared" si="4"/>
        <v>High Cost</v>
      </c>
      <c r="K87" t="str">
        <f t="shared" si="5"/>
        <v>Senior</v>
      </c>
    </row>
    <row r="88" spans="1:11" x14ac:dyDescent="0.3">
      <c r="A88" t="s">
        <v>113</v>
      </c>
      <c r="B88" t="s">
        <v>15</v>
      </c>
      <c r="C88" t="s">
        <v>16</v>
      </c>
      <c r="D88" t="s">
        <v>17</v>
      </c>
      <c r="E88" t="s">
        <v>29</v>
      </c>
      <c r="F88">
        <v>1</v>
      </c>
      <c r="G88">
        <v>16874.009999999998</v>
      </c>
      <c r="H88">
        <v>14</v>
      </c>
      <c r="I88">
        <v>76</v>
      </c>
      <c r="J88" t="str">
        <f t="shared" si="4"/>
        <v>Low  Cost</v>
      </c>
      <c r="K88" t="str">
        <f t="shared" si="5"/>
        <v>Infant/Toddler</v>
      </c>
    </row>
    <row r="89" spans="1:11" x14ac:dyDescent="0.3">
      <c r="A89" t="s">
        <v>114</v>
      </c>
      <c r="B89" t="s">
        <v>15</v>
      </c>
      <c r="C89" t="s">
        <v>41</v>
      </c>
      <c r="D89" t="s">
        <v>12</v>
      </c>
      <c r="E89" t="s">
        <v>18</v>
      </c>
      <c r="F89">
        <v>37</v>
      </c>
      <c r="G89">
        <v>8578.83</v>
      </c>
      <c r="H89">
        <v>2</v>
      </c>
      <c r="I89">
        <v>90</v>
      </c>
      <c r="J89" t="str">
        <f t="shared" si="4"/>
        <v>Low  Cost</v>
      </c>
      <c r="K89" t="str">
        <f t="shared" si="5"/>
        <v>Adult</v>
      </c>
    </row>
    <row r="90" spans="1:11" x14ac:dyDescent="0.3">
      <c r="A90" t="s">
        <v>115</v>
      </c>
      <c r="B90" t="s">
        <v>36</v>
      </c>
      <c r="C90" t="s">
        <v>11</v>
      </c>
      <c r="D90" t="s">
        <v>17</v>
      </c>
      <c r="E90" t="s">
        <v>18</v>
      </c>
      <c r="F90">
        <v>7</v>
      </c>
      <c r="G90">
        <v>22311.39</v>
      </c>
      <c r="H90">
        <v>14</v>
      </c>
      <c r="I90">
        <v>86</v>
      </c>
      <c r="J90" t="str">
        <f t="shared" si="4"/>
        <v>Low  Cost</v>
      </c>
      <c r="K90" t="str">
        <f t="shared" si="5"/>
        <v>Child</v>
      </c>
    </row>
    <row r="91" spans="1:11" x14ac:dyDescent="0.3">
      <c r="A91" t="s">
        <v>116</v>
      </c>
      <c r="B91" t="s">
        <v>25</v>
      </c>
      <c r="C91" t="s">
        <v>41</v>
      </c>
      <c r="D91" t="s">
        <v>12</v>
      </c>
      <c r="E91" t="s">
        <v>29</v>
      </c>
      <c r="F91">
        <v>46</v>
      </c>
      <c r="G91">
        <v>128560.01</v>
      </c>
      <c r="H91">
        <v>7</v>
      </c>
      <c r="I91">
        <v>52</v>
      </c>
      <c r="J91" t="str">
        <f t="shared" si="4"/>
        <v>High Cost</v>
      </c>
      <c r="K91" t="str">
        <f t="shared" si="5"/>
        <v>Middle-aged</v>
      </c>
    </row>
    <row r="92" spans="1:11" x14ac:dyDescent="0.3">
      <c r="A92" t="s">
        <v>117</v>
      </c>
      <c r="B92" t="s">
        <v>31</v>
      </c>
      <c r="C92" t="s">
        <v>11</v>
      </c>
      <c r="D92" t="s">
        <v>23</v>
      </c>
      <c r="E92" t="s">
        <v>29</v>
      </c>
      <c r="F92">
        <v>30</v>
      </c>
      <c r="G92">
        <v>147742.63</v>
      </c>
      <c r="H92">
        <v>28</v>
      </c>
      <c r="I92">
        <v>62</v>
      </c>
      <c r="J92" t="str">
        <f t="shared" si="4"/>
        <v>High Cost</v>
      </c>
      <c r="K92" t="str">
        <f t="shared" si="5"/>
        <v>Adult</v>
      </c>
    </row>
    <row r="93" spans="1:11" x14ac:dyDescent="0.3">
      <c r="A93" t="s">
        <v>118</v>
      </c>
      <c r="B93" t="s">
        <v>15</v>
      </c>
      <c r="C93" t="s">
        <v>11</v>
      </c>
      <c r="D93" t="s">
        <v>17</v>
      </c>
      <c r="E93" t="s">
        <v>29</v>
      </c>
      <c r="F93">
        <v>66</v>
      </c>
      <c r="G93">
        <v>54562.1</v>
      </c>
      <c r="H93">
        <v>21</v>
      </c>
      <c r="I93">
        <v>86</v>
      </c>
      <c r="J93" t="str">
        <f t="shared" si="4"/>
        <v>Low  Cost</v>
      </c>
      <c r="K93" t="str">
        <f t="shared" si="5"/>
        <v>Senior</v>
      </c>
    </row>
    <row r="94" spans="1:11" x14ac:dyDescent="0.3">
      <c r="A94" t="s">
        <v>119</v>
      </c>
      <c r="B94" t="s">
        <v>36</v>
      </c>
      <c r="C94" t="s">
        <v>28</v>
      </c>
      <c r="D94" t="s">
        <v>23</v>
      </c>
      <c r="E94" t="s">
        <v>29</v>
      </c>
      <c r="F94">
        <v>1</v>
      </c>
      <c r="G94">
        <v>146289.26999999999</v>
      </c>
      <c r="H94">
        <v>17</v>
      </c>
      <c r="I94">
        <v>47</v>
      </c>
      <c r="J94" t="str">
        <f t="shared" si="4"/>
        <v>High Cost</v>
      </c>
      <c r="K94" t="str">
        <f t="shared" si="5"/>
        <v>Infant/Toddler</v>
      </c>
    </row>
    <row r="95" spans="1:11" x14ac:dyDescent="0.3">
      <c r="A95" t="s">
        <v>120</v>
      </c>
      <c r="B95" t="s">
        <v>31</v>
      </c>
      <c r="C95" t="s">
        <v>41</v>
      </c>
      <c r="D95" t="s">
        <v>32</v>
      </c>
      <c r="E95" t="s">
        <v>29</v>
      </c>
      <c r="F95">
        <v>89</v>
      </c>
      <c r="G95">
        <v>128840.81</v>
      </c>
      <c r="H95">
        <v>22</v>
      </c>
      <c r="I95">
        <v>81</v>
      </c>
      <c r="J95" t="str">
        <f t="shared" si="4"/>
        <v>High Cost</v>
      </c>
      <c r="K95" t="str">
        <f t="shared" si="5"/>
        <v>Elderly</v>
      </c>
    </row>
    <row r="96" spans="1:11" x14ac:dyDescent="0.3">
      <c r="A96" t="s">
        <v>121</v>
      </c>
      <c r="B96" t="s">
        <v>22</v>
      </c>
      <c r="C96" t="s">
        <v>16</v>
      </c>
      <c r="D96" t="s">
        <v>17</v>
      </c>
      <c r="E96" t="s">
        <v>29</v>
      </c>
      <c r="F96">
        <v>48</v>
      </c>
      <c r="G96">
        <v>19629.22</v>
      </c>
      <c r="H96">
        <v>2</v>
      </c>
      <c r="I96">
        <v>95</v>
      </c>
      <c r="J96" t="str">
        <f t="shared" si="4"/>
        <v>Low  Cost</v>
      </c>
      <c r="K96" t="str">
        <f t="shared" si="5"/>
        <v>Middle-aged</v>
      </c>
    </row>
    <row r="97" spans="1:11" x14ac:dyDescent="0.3">
      <c r="A97" t="s">
        <v>122</v>
      </c>
      <c r="B97" t="s">
        <v>31</v>
      </c>
      <c r="C97" t="s">
        <v>28</v>
      </c>
      <c r="D97" t="s">
        <v>32</v>
      </c>
      <c r="E97" t="s">
        <v>13</v>
      </c>
      <c r="F97">
        <v>59</v>
      </c>
      <c r="G97">
        <v>73629.03</v>
      </c>
      <c r="H97">
        <v>10</v>
      </c>
      <c r="I97">
        <v>85</v>
      </c>
      <c r="J97" t="str">
        <f t="shared" si="4"/>
        <v>Low  Cost</v>
      </c>
      <c r="K97" t="str">
        <f t="shared" si="5"/>
        <v>Middle-aged</v>
      </c>
    </row>
    <row r="98" spans="1:11" x14ac:dyDescent="0.3">
      <c r="A98" t="s">
        <v>123</v>
      </c>
      <c r="B98" t="s">
        <v>25</v>
      </c>
      <c r="C98" t="s">
        <v>16</v>
      </c>
      <c r="D98" t="s">
        <v>32</v>
      </c>
      <c r="E98" t="s">
        <v>29</v>
      </c>
      <c r="F98">
        <v>54</v>
      </c>
      <c r="G98">
        <v>100747.7</v>
      </c>
      <c r="H98">
        <v>12</v>
      </c>
      <c r="I98">
        <v>74</v>
      </c>
      <c r="J98" t="str">
        <f t="shared" ref="J98:J129" si="6">IF(G98&gt;75000,"High Cost", "Low  Cost")</f>
        <v>High Cost</v>
      </c>
      <c r="K98" t="str">
        <f t="shared" ref="K98:K129" si="7">IF(F98&lt;=5, "Infant/Toddler",
IF(F98&lt;=12,"Child",
IF(F98&lt;=19,"Teenager",
IF(F98&lt;=29,"Young Adult",
IF(F98&lt;=44,"Adult",
IF(F98&lt;=59,"Middle-aged",
IF(F98&lt;=74,"Senior","Elderly")))))))</f>
        <v>Middle-aged</v>
      </c>
    </row>
    <row r="99" spans="1:11" x14ac:dyDescent="0.3">
      <c r="A99" t="s">
        <v>124</v>
      </c>
      <c r="B99" t="s">
        <v>15</v>
      </c>
      <c r="C99" t="s">
        <v>11</v>
      </c>
      <c r="D99" t="s">
        <v>12</v>
      </c>
      <c r="E99" t="s">
        <v>29</v>
      </c>
      <c r="F99">
        <v>35</v>
      </c>
      <c r="G99">
        <v>85523.17</v>
      </c>
      <c r="H99">
        <v>30</v>
      </c>
      <c r="I99">
        <v>90</v>
      </c>
      <c r="J99" t="str">
        <f t="shared" si="6"/>
        <v>High Cost</v>
      </c>
      <c r="K99" t="str">
        <f t="shared" si="7"/>
        <v>Adult</v>
      </c>
    </row>
    <row r="100" spans="1:11" x14ac:dyDescent="0.3">
      <c r="A100" t="s">
        <v>125</v>
      </c>
      <c r="B100" t="s">
        <v>31</v>
      </c>
      <c r="C100" t="s">
        <v>16</v>
      </c>
      <c r="D100" t="s">
        <v>23</v>
      </c>
      <c r="E100" t="s">
        <v>29</v>
      </c>
      <c r="F100">
        <v>33</v>
      </c>
      <c r="G100">
        <v>79151.14</v>
      </c>
      <c r="H100">
        <v>2</v>
      </c>
      <c r="I100">
        <v>56</v>
      </c>
      <c r="J100" t="str">
        <f t="shared" si="6"/>
        <v>High Cost</v>
      </c>
      <c r="K100" t="str">
        <f t="shared" si="7"/>
        <v>Adult</v>
      </c>
    </row>
    <row r="101" spans="1:11" x14ac:dyDescent="0.3">
      <c r="A101" t="s">
        <v>126</v>
      </c>
      <c r="B101" t="s">
        <v>36</v>
      </c>
      <c r="C101" t="s">
        <v>11</v>
      </c>
      <c r="D101" t="s">
        <v>23</v>
      </c>
      <c r="E101" t="s">
        <v>13</v>
      </c>
      <c r="F101">
        <v>30</v>
      </c>
      <c r="G101">
        <v>115395.67</v>
      </c>
      <c r="H101">
        <v>11</v>
      </c>
      <c r="I101">
        <v>74</v>
      </c>
      <c r="J101" t="str">
        <f t="shared" si="6"/>
        <v>High Cost</v>
      </c>
      <c r="K101" t="str">
        <f t="shared" si="7"/>
        <v>Adult</v>
      </c>
    </row>
    <row r="102" spans="1:11" x14ac:dyDescent="0.3">
      <c r="A102" t="s">
        <v>127</v>
      </c>
      <c r="B102" t="s">
        <v>22</v>
      </c>
      <c r="C102" t="s">
        <v>28</v>
      </c>
      <c r="D102" t="s">
        <v>12</v>
      </c>
      <c r="E102" t="s">
        <v>13</v>
      </c>
      <c r="F102">
        <v>60</v>
      </c>
      <c r="G102">
        <v>49131.44</v>
      </c>
      <c r="H102">
        <v>2</v>
      </c>
      <c r="I102">
        <v>44</v>
      </c>
      <c r="J102" t="str">
        <f t="shared" si="6"/>
        <v>Low  Cost</v>
      </c>
      <c r="K102" t="str">
        <f t="shared" si="7"/>
        <v>Senior</v>
      </c>
    </row>
    <row r="103" spans="1:11" x14ac:dyDescent="0.3">
      <c r="A103" t="s">
        <v>128</v>
      </c>
      <c r="B103" t="s">
        <v>31</v>
      </c>
      <c r="C103" t="s">
        <v>11</v>
      </c>
      <c r="D103" t="s">
        <v>23</v>
      </c>
      <c r="E103" t="s">
        <v>29</v>
      </c>
      <c r="F103">
        <v>70</v>
      </c>
      <c r="G103">
        <v>58132.5</v>
      </c>
      <c r="H103">
        <v>25</v>
      </c>
      <c r="I103">
        <v>43</v>
      </c>
      <c r="J103" t="str">
        <f t="shared" si="6"/>
        <v>Low  Cost</v>
      </c>
      <c r="K103" t="str">
        <f t="shared" si="7"/>
        <v>Senior</v>
      </c>
    </row>
    <row r="104" spans="1:11" x14ac:dyDescent="0.3">
      <c r="A104" t="s">
        <v>129</v>
      </c>
      <c r="B104" t="s">
        <v>36</v>
      </c>
      <c r="C104" t="s">
        <v>41</v>
      </c>
      <c r="D104" t="s">
        <v>12</v>
      </c>
      <c r="E104" t="s">
        <v>13</v>
      </c>
      <c r="F104">
        <v>6</v>
      </c>
      <c r="G104">
        <v>77311.77</v>
      </c>
      <c r="H104">
        <v>19</v>
      </c>
      <c r="I104">
        <v>90</v>
      </c>
      <c r="J104" t="str">
        <f t="shared" si="6"/>
        <v>High Cost</v>
      </c>
      <c r="K104" t="str">
        <f t="shared" si="7"/>
        <v>Child</v>
      </c>
    </row>
    <row r="105" spans="1:11" x14ac:dyDescent="0.3">
      <c r="A105" t="s">
        <v>130</v>
      </c>
      <c r="B105" t="s">
        <v>25</v>
      </c>
      <c r="C105" t="s">
        <v>28</v>
      </c>
      <c r="D105" t="s">
        <v>32</v>
      </c>
      <c r="E105" t="s">
        <v>29</v>
      </c>
      <c r="F105">
        <v>70</v>
      </c>
      <c r="G105">
        <v>14270.62</v>
      </c>
      <c r="H105">
        <v>24</v>
      </c>
      <c r="I105">
        <v>43</v>
      </c>
      <c r="J105" t="str">
        <f t="shared" si="6"/>
        <v>Low  Cost</v>
      </c>
      <c r="K105" t="str">
        <f t="shared" si="7"/>
        <v>Senior</v>
      </c>
    </row>
    <row r="106" spans="1:11" x14ac:dyDescent="0.3">
      <c r="A106" t="s">
        <v>131</v>
      </c>
      <c r="B106" t="s">
        <v>15</v>
      </c>
      <c r="C106" t="s">
        <v>28</v>
      </c>
      <c r="D106" t="s">
        <v>26</v>
      </c>
      <c r="E106" t="s">
        <v>13</v>
      </c>
      <c r="F106">
        <v>52</v>
      </c>
      <c r="G106">
        <v>97685.72</v>
      </c>
      <c r="H106">
        <v>28</v>
      </c>
      <c r="I106">
        <v>59</v>
      </c>
      <c r="J106" t="str">
        <f t="shared" si="6"/>
        <v>High Cost</v>
      </c>
      <c r="K106" t="str">
        <f t="shared" si="7"/>
        <v>Middle-aged</v>
      </c>
    </row>
    <row r="107" spans="1:11" x14ac:dyDescent="0.3">
      <c r="A107" t="s">
        <v>132</v>
      </c>
      <c r="B107" t="s">
        <v>10</v>
      </c>
      <c r="C107" t="s">
        <v>16</v>
      </c>
      <c r="D107" t="s">
        <v>23</v>
      </c>
      <c r="E107" t="s">
        <v>18</v>
      </c>
      <c r="F107">
        <v>64</v>
      </c>
      <c r="G107">
        <v>142687.47</v>
      </c>
      <c r="H107">
        <v>27</v>
      </c>
      <c r="I107">
        <v>80</v>
      </c>
      <c r="J107" t="str">
        <f t="shared" si="6"/>
        <v>High Cost</v>
      </c>
      <c r="K107" t="str">
        <f t="shared" si="7"/>
        <v>Senior</v>
      </c>
    </row>
    <row r="108" spans="1:11" x14ac:dyDescent="0.3">
      <c r="A108" t="s">
        <v>133</v>
      </c>
      <c r="B108" t="s">
        <v>31</v>
      </c>
      <c r="C108" t="s">
        <v>28</v>
      </c>
      <c r="D108" t="s">
        <v>17</v>
      </c>
      <c r="E108" t="s">
        <v>29</v>
      </c>
      <c r="F108">
        <v>35</v>
      </c>
      <c r="G108">
        <v>36754.51</v>
      </c>
      <c r="H108">
        <v>27</v>
      </c>
      <c r="I108">
        <v>49</v>
      </c>
      <c r="J108" t="str">
        <f t="shared" si="6"/>
        <v>Low  Cost</v>
      </c>
      <c r="K108" t="str">
        <f t="shared" si="7"/>
        <v>Adult</v>
      </c>
    </row>
    <row r="109" spans="1:11" x14ac:dyDescent="0.3">
      <c r="A109" t="s">
        <v>134</v>
      </c>
      <c r="B109" t="s">
        <v>15</v>
      </c>
      <c r="C109" t="s">
        <v>16</v>
      </c>
      <c r="D109" t="s">
        <v>17</v>
      </c>
      <c r="E109" t="s">
        <v>29</v>
      </c>
      <c r="F109">
        <v>62</v>
      </c>
      <c r="G109">
        <v>34938.57</v>
      </c>
      <c r="H109">
        <v>8</v>
      </c>
      <c r="I109">
        <v>70</v>
      </c>
      <c r="J109" t="str">
        <f t="shared" si="6"/>
        <v>Low  Cost</v>
      </c>
      <c r="K109" t="str">
        <f t="shared" si="7"/>
        <v>Senior</v>
      </c>
    </row>
    <row r="110" spans="1:11" x14ac:dyDescent="0.3">
      <c r="A110" t="s">
        <v>135</v>
      </c>
      <c r="B110" t="s">
        <v>22</v>
      </c>
      <c r="C110" t="s">
        <v>28</v>
      </c>
      <c r="D110" t="s">
        <v>12</v>
      </c>
      <c r="E110" t="s">
        <v>13</v>
      </c>
      <c r="F110">
        <v>22</v>
      </c>
      <c r="G110">
        <v>97228.49</v>
      </c>
      <c r="H110">
        <v>7</v>
      </c>
      <c r="I110">
        <v>60</v>
      </c>
      <c r="J110" t="str">
        <f t="shared" si="6"/>
        <v>High Cost</v>
      </c>
      <c r="K110" t="str">
        <f t="shared" si="7"/>
        <v>Young Adult</v>
      </c>
    </row>
    <row r="111" spans="1:11" x14ac:dyDescent="0.3">
      <c r="A111" t="s">
        <v>136</v>
      </c>
      <c r="B111" t="s">
        <v>25</v>
      </c>
      <c r="C111" t="s">
        <v>28</v>
      </c>
      <c r="D111" t="s">
        <v>17</v>
      </c>
      <c r="E111" t="s">
        <v>13</v>
      </c>
      <c r="F111">
        <v>42</v>
      </c>
      <c r="G111">
        <v>91441.1</v>
      </c>
      <c r="H111">
        <v>22</v>
      </c>
      <c r="I111">
        <v>84</v>
      </c>
      <c r="J111" t="str">
        <f t="shared" si="6"/>
        <v>High Cost</v>
      </c>
      <c r="K111" t="str">
        <f t="shared" si="7"/>
        <v>Adult</v>
      </c>
    </row>
    <row r="112" spans="1:11" x14ac:dyDescent="0.3">
      <c r="A112" t="s">
        <v>137</v>
      </c>
      <c r="B112" t="s">
        <v>10</v>
      </c>
      <c r="C112" t="s">
        <v>41</v>
      </c>
      <c r="D112" t="s">
        <v>32</v>
      </c>
      <c r="E112" t="s">
        <v>13</v>
      </c>
      <c r="F112">
        <v>24</v>
      </c>
      <c r="G112">
        <v>139624.06</v>
      </c>
      <c r="H112">
        <v>5</v>
      </c>
      <c r="I112">
        <v>55</v>
      </c>
      <c r="J112" t="str">
        <f t="shared" si="6"/>
        <v>High Cost</v>
      </c>
      <c r="K112" t="str">
        <f t="shared" si="7"/>
        <v>Young Adult</v>
      </c>
    </row>
    <row r="113" spans="1:11" x14ac:dyDescent="0.3">
      <c r="A113" t="s">
        <v>138</v>
      </c>
      <c r="B113" t="s">
        <v>25</v>
      </c>
      <c r="C113" t="s">
        <v>16</v>
      </c>
      <c r="D113" t="s">
        <v>12</v>
      </c>
      <c r="E113" t="s">
        <v>29</v>
      </c>
      <c r="F113">
        <v>17</v>
      </c>
      <c r="G113">
        <v>86650.5</v>
      </c>
      <c r="H113">
        <v>3</v>
      </c>
      <c r="I113">
        <v>53</v>
      </c>
      <c r="J113" t="str">
        <f t="shared" si="6"/>
        <v>High Cost</v>
      </c>
      <c r="K113" t="str">
        <f t="shared" si="7"/>
        <v>Teenager</v>
      </c>
    </row>
    <row r="114" spans="1:11" x14ac:dyDescent="0.3">
      <c r="A114" t="s">
        <v>139</v>
      </c>
      <c r="B114" t="s">
        <v>31</v>
      </c>
      <c r="C114" t="s">
        <v>11</v>
      </c>
      <c r="D114" t="s">
        <v>17</v>
      </c>
      <c r="E114" t="s">
        <v>18</v>
      </c>
      <c r="F114">
        <v>75</v>
      </c>
      <c r="G114">
        <v>85517.09</v>
      </c>
      <c r="H114">
        <v>6</v>
      </c>
      <c r="I114">
        <v>79</v>
      </c>
      <c r="J114" t="str">
        <f t="shared" si="6"/>
        <v>High Cost</v>
      </c>
      <c r="K114" t="str">
        <f t="shared" si="7"/>
        <v>Elderly</v>
      </c>
    </row>
    <row r="115" spans="1:11" x14ac:dyDescent="0.3">
      <c r="A115" t="s">
        <v>140</v>
      </c>
      <c r="B115" t="s">
        <v>10</v>
      </c>
      <c r="C115" t="s">
        <v>11</v>
      </c>
      <c r="D115" t="s">
        <v>17</v>
      </c>
      <c r="E115" t="s">
        <v>13</v>
      </c>
      <c r="F115">
        <v>47</v>
      </c>
      <c r="G115">
        <v>134120.62</v>
      </c>
      <c r="H115">
        <v>11</v>
      </c>
      <c r="I115">
        <v>92</v>
      </c>
      <c r="J115" t="str">
        <f t="shared" si="6"/>
        <v>High Cost</v>
      </c>
      <c r="K115" t="str">
        <f t="shared" si="7"/>
        <v>Middle-aged</v>
      </c>
    </row>
    <row r="116" spans="1:11" x14ac:dyDescent="0.3">
      <c r="A116" t="s">
        <v>141</v>
      </c>
      <c r="B116" t="s">
        <v>22</v>
      </c>
      <c r="C116" t="s">
        <v>41</v>
      </c>
      <c r="D116" t="s">
        <v>23</v>
      </c>
      <c r="E116" t="s">
        <v>29</v>
      </c>
      <c r="F116">
        <v>81</v>
      </c>
      <c r="G116">
        <v>22593.06</v>
      </c>
      <c r="H116">
        <v>6</v>
      </c>
      <c r="I116">
        <v>67</v>
      </c>
      <c r="J116" t="str">
        <f t="shared" si="6"/>
        <v>Low  Cost</v>
      </c>
      <c r="K116" t="str">
        <f t="shared" si="7"/>
        <v>Elderly</v>
      </c>
    </row>
    <row r="117" spans="1:11" x14ac:dyDescent="0.3">
      <c r="A117" t="s">
        <v>142</v>
      </c>
      <c r="B117" t="s">
        <v>10</v>
      </c>
      <c r="C117" t="s">
        <v>28</v>
      </c>
      <c r="D117" t="s">
        <v>23</v>
      </c>
      <c r="E117" t="s">
        <v>18</v>
      </c>
      <c r="F117">
        <v>20</v>
      </c>
      <c r="G117">
        <v>88741.64</v>
      </c>
      <c r="H117">
        <v>26</v>
      </c>
      <c r="I117">
        <v>99</v>
      </c>
      <c r="J117" t="str">
        <f t="shared" si="6"/>
        <v>High Cost</v>
      </c>
      <c r="K117" t="str">
        <f t="shared" si="7"/>
        <v>Young Adult</v>
      </c>
    </row>
    <row r="118" spans="1:11" x14ac:dyDescent="0.3">
      <c r="A118" t="s">
        <v>143</v>
      </c>
      <c r="B118" t="s">
        <v>10</v>
      </c>
      <c r="C118" t="s">
        <v>16</v>
      </c>
      <c r="D118" t="s">
        <v>17</v>
      </c>
      <c r="E118" t="s">
        <v>18</v>
      </c>
      <c r="F118">
        <v>14</v>
      </c>
      <c r="G118">
        <v>10917.19</v>
      </c>
      <c r="H118">
        <v>22</v>
      </c>
      <c r="I118">
        <v>43</v>
      </c>
      <c r="J118" t="str">
        <f t="shared" si="6"/>
        <v>Low  Cost</v>
      </c>
      <c r="K118" t="str">
        <f t="shared" si="7"/>
        <v>Teenager</v>
      </c>
    </row>
    <row r="119" spans="1:11" x14ac:dyDescent="0.3">
      <c r="A119" t="s">
        <v>144</v>
      </c>
      <c r="B119" t="s">
        <v>10</v>
      </c>
      <c r="C119" t="s">
        <v>41</v>
      </c>
      <c r="D119" t="s">
        <v>32</v>
      </c>
      <c r="E119" t="s">
        <v>13</v>
      </c>
      <c r="F119">
        <v>30</v>
      </c>
      <c r="G119">
        <v>97613.71</v>
      </c>
      <c r="H119">
        <v>24</v>
      </c>
      <c r="I119">
        <v>72</v>
      </c>
      <c r="J119" t="str">
        <f t="shared" si="6"/>
        <v>High Cost</v>
      </c>
      <c r="K119" t="str">
        <f t="shared" si="7"/>
        <v>Adult</v>
      </c>
    </row>
    <row r="120" spans="1:11" x14ac:dyDescent="0.3">
      <c r="A120" t="s">
        <v>145</v>
      </c>
      <c r="B120" t="s">
        <v>36</v>
      </c>
      <c r="C120" t="s">
        <v>41</v>
      </c>
      <c r="D120" t="s">
        <v>23</v>
      </c>
      <c r="E120" t="s">
        <v>13</v>
      </c>
      <c r="F120">
        <v>81</v>
      </c>
      <c r="G120">
        <v>135711.26999999999</v>
      </c>
      <c r="H120">
        <v>14</v>
      </c>
      <c r="I120">
        <v>99</v>
      </c>
      <c r="J120" t="str">
        <f t="shared" si="6"/>
        <v>High Cost</v>
      </c>
      <c r="K120" t="str">
        <f t="shared" si="7"/>
        <v>Elderly</v>
      </c>
    </row>
    <row r="121" spans="1:11" x14ac:dyDescent="0.3">
      <c r="A121" t="s">
        <v>146</v>
      </c>
      <c r="B121" t="s">
        <v>15</v>
      </c>
      <c r="C121" t="s">
        <v>16</v>
      </c>
      <c r="D121" t="s">
        <v>23</v>
      </c>
      <c r="E121" t="s">
        <v>13</v>
      </c>
      <c r="F121">
        <v>48</v>
      </c>
      <c r="G121">
        <v>117464.18</v>
      </c>
      <c r="H121">
        <v>2</v>
      </c>
      <c r="I121">
        <v>61</v>
      </c>
      <c r="J121" t="str">
        <f t="shared" si="6"/>
        <v>High Cost</v>
      </c>
      <c r="K121" t="str">
        <f t="shared" si="7"/>
        <v>Middle-aged</v>
      </c>
    </row>
    <row r="122" spans="1:11" x14ac:dyDescent="0.3">
      <c r="A122" t="s">
        <v>147</v>
      </c>
      <c r="B122" t="s">
        <v>22</v>
      </c>
      <c r="C122" t="s">
        <v>16</v>
      </c>
      <c r="D122" t="s">
        <v>23</v>
      </c>
      <c r="E122" t="s">
        <v>29</v>
      </c>
      <c r="F122">
        <v>45</v>
      </c>
      <c r="G122">
        <v>89474.55</v>
      </c>
      <c r="H122">
        <v>21</v>
      </c>
      <c r="I122">
        <v>64</v>
      </c>
      <c r="J122" t="str">
        <f t="shared" si="6"/>
        <v>High Cost</v>
      </c>
      <c r="K122" t="str">
        <f t="shared" si="7"/>
        <v>Middle-aged</v>
      </c>
    </row>
    <row r="123" spans="1:11" x14ac:dyDescent="0.3">
      <c r="A123" t="s">
        <v>148</v>
      </c>
      <c r="B123" t="s">
        <v>10</v>
      </c>
      <c r="C123" t="s">
        <v>41</v>
      </c>
      <c r="D123" t="s">
        <v>32</v>
      </c>
      <c r="E123" t="s">
        <v>29</v>
      </c>
      <c r="F123">
        <v>1</v>
      </c>
      <c r="G123">
        <v>105954.09</v>
      </c>
      <c r="H123">
        <v>12</v>
      </c>
      <c r="I123">
        <v>95</v>
      </c>
      <c r="J123" t="str">
        <f t="shared" si="6"/>
        <v>High Cost</v>
      </c>
      <c r="K123" t="str">
        <f t="shared" si="7"/>
        <v>Infant/Toddler</v>
      </c>
    </row>
    <row r="124" spans="1:11" x14ac:dyDescent="0.3">
      <c r="A124" t="s">
        <v>149</v>
      </c>
      <c r="B124" t="s">
        <v>15</v>
      </c>
      <c r="C124" t="s">
        <v>28</v>
      </c>
      <c r="D124" t="s">
        <v>26</v>
      </c>
      <c r="E124" t="s">
        <v>13</v>
      </c>
      <c r="F124">
        <v>30</v>
      </c>
      <c r="G124">
        <v>91267.91</v>
      </c>
      <c r="H124">
        <v>17</v>
      </c>
      <c r="I124">
        <v>76</v>
      </c>
      <c r="J124" t="str">
        <f t="shared" si="6"/>
        <v>High Cost</v>
      </c>
      <c r="K124" t="str">
        <f t="shared" si="7"/>
        <v>Adult</v>
      </c>
    </row>
    <row r="125" spans="1:11" x14ac:dyDescent="0.3">
      <c r="A125" t="s">
        <v>150</v>
      </c>
      <c r="B125" t="s">
        <v>36</v>
      </c>
      <c r="C125" t="s">
        <v>11</v>
      </c>
      <c r="D125" t="s">
        <v>26</v>
      </c>
      <c r="E125" t="s">
        <v>13</v>
      </c>
      <c r="F125">
        <v>3</v>
      </c>
      <c r="G125">
        <v>46506.94</v>
      </c>
      <c r="H125">
        <v>9</v>
      </c>
      <c r="I125">
        <v>72</v>
      </c>
      <c r="J125" t="str">
        <f t="shared" si="6"/>
        <v>Low  Cost</v>
      </c>
      <c r="K125" t="str">
        <f t="shared" si="7"/>
        <v>Infant/Toddler</v>
      </c>
    </row>
    <row r="126" spans="1:11" x14ac:dyDescent="0.3">
      <c r="A126" t="s">
        <v>151</v>
      </c>
      <c r="B126" t="s">
        <v>31</v>
      </c>
      <c r="C126" t="s">
        <v>41</v>
      </c>
      <c r="D126" t="s">
        <v>17</v>
      </c>
      <c r="E126" t="s">
        <v>13</v>
      </c>
      <c r="F126">
        <v>78</v>
      </c>
      <c r="G126">
        <v>40568.300000000003</v>
      </c>
      <c r="H126">
        <v>18</v>
      </c>
      <c r="I126">
        <v>91</v>
      </c>
      <c r="J126" t="str">
        <f t="shared" si="6"/>
        <v>Low  Cost</v>
      </c>
      <c r="K126" t="str">
        <f t="shared" si="7"/>
        <v>Elderly</v>
      </c>
    </row>
    <row r="127" spans="1:11" x14ac:dyDescent="0.3">
      <c r="A127" t="s">
        <v>152</v>
      </c>
      <c r="B127" t="s">
        <v>22</v>
      </c>
      <c r="C127" t="s">
        <v>11</v>
      </c>
      <c r="D127" t="s">
        <v>32</v>
      </c>
      <c r="E127" t="s">
        <v>18</v>
      </c>
      <c r="F127">
        <v>35</v>
      </c>
      <c r="G127">
        <v>132265.98000000001</v>
      </c>
      <c r="H127">
        <v>7</v>
      </c>
      <c r="I127">
        <v>45</v>
      </c>
      <c r="J127" t="str">
        <f t="shared" si="6"/>
        <v>High Cost</v>
      </c>
      <c r="K127" t="str">
        <f t="shared" si="7"/>
        <v>Adult</v>
      </c>
    </row>
    <row r="128" spans="1:11" x14ac:dyDescent="0.3">
      <c r="A128" t="s">
        <v>153</v>
      </c>
      <c r="B128" t="s">
        <v>15</v>
      </c>
      <c r="C128" t="s">
        <v>41</v>
      </c>
      <c r="D128" t="s">
        <v>23</v>
      </c>
      <c r="E128" t="s">
        <v>18</v>
      </c>
      <c r="F128">
        <v>88</v>
      </c>
      <c r="G128">
        <v>50993.47</v>
      </c>
      <c r="H128">
        <v>4</v>
      </c>
      <c r="I128">
        <v>82</v>
      </c>
      <c r="J128" t="str">
        <f t="shared" si="6"/>
        <v>Low  Cost</v>
      </c>
      <c r="K128" t="str">
        <f t="shared" si="7"/>
        <v>Elderly</v>
      </c>
    </row>
    <row r="129" spans="1:11" x14ac:dyDescent="0.3">
      <c r="A129" t="s">
        <v>154</v>
      </c>
      <c r="B129" t="s">
        <v>22</v>
      </c>
      <c r="C129" t="s">
        <v>41</v>
      </c>
      <c r="D129" t="s">
        <v>17</v>
      </c>
      <c r="E129" t="s">
        <v>18</v>
      </c>
      <c r="F129">
        <v>7</v>
      </c>
      <c r="G129">
        <v>135590.48000000001</v>
      </c>
      <c r="H129">
        <v>6</v>
      </c>
      <c r="I129">
        <v>46</v>
      </c>
      <c r="J129" t="str">
        <f t="shared" si="6"/>
        <v>High Cost</v>
      </c>
      <c r="K129" t="str">
        <f t="shared" si="7"/>
        <v>Child</v>
      </c>
    </row>
    <row r="130" spans="1:11" x14ac:dyDescent="0.3">
      <c r="A130" t="s">
        <v>155</v>
      </c>
      <c r="B130" t="s">
        <v>15</v>
      </c>
      <c r="C130" t="s">
        <v>41</v>
      </c>
      <c r="D130" t="s">
        <v>32</v>
      </c>
      <c r="E130" t="s">
        <v>13</v>
      </c>
      <c r="F130">
        <v>73</v>
      </c>
      <c r="G130">
        <v>148956.56</v>
      </c>
      <c r="H130">
        <v>6</v>
      </c>
      <c r="I130">
        <v>100</v>
      </c>
      <c r="J130" t="str">
        <f t="shared" ref="J130:J161" si="8">IF(G130&gt;75000,"High Cost", "Low  Cost")</f>
        <v>High Cost</v>
      </c>
      <c r="K130" t="str">
        <f t="shared" ref="K130:K161" si="9">IF(F130&lt;=5, "Infant/Toddler",
IF(F130&lt;=12,"Child",
IF(F130&lt;=19,"Teenager",
IF(F130&lt;=29,"Young Adult",
IF(F130&lt;=44,"Adult",
IF(F130&lt;=59,"Middle-aged",
IF(F130&lt;=74,"Senior","Elderly")))))))</f>
        <v>Senior</v>
      </c>
    </row>
    <row r="131" spans="1:11" x14ac:dyDescent="0.3">
      <c r="A131" t="s">
        <v>156</v>
      </c>
      <c r="B131" t="s">
        <v>25</v>
      </c>
      <c r="C131" t="s">
        <v>16</v>
      </c>
      <c r="D131" t="s">
        <v>12</v>
      </c>
      <c r="E131" t="s">
        <v>18</v>
      </c>
      <c r="F131">
        <v>83</v>
      </c>
      <c r="G131">
        <v>71584.960000000006</v>
      </c>
      <c r="H131">
        <v>26</v>
      </c>
      <c r="I131">
        <v>55</v>
      </c>
      <c r="J131" t="str">
        <f t="shared" si="8"/>
        <v>Low  Cost</v>
      </c>
      <c r="K131" t="str">
        <f t="shared" si="9"/>
        <v>Elderly</v>
      </c>
    </row>
    <row r="132" spans="1:11" x14ac:dyDescent="0.3">
      <c r="A132" t="s">
        <v>157</v>
      </c>
      <c r="B132" t="s">
        <v>22</v>
      </c>
      <c r="C132" t="s">
        <v>28</v>
      </c>
      <c r="D132" t="s">
        <v>17</v>
      </c>
      <c r="E132" t="s">
        <v>29</v>
      </c>
      <c r="F132">
        <v>37</v>
      </c>
      <c r="G132">
        <v>78613.16</v>
      </c>
      <c r="H132">
        <v>20</v>
      </c>
      <c r="I132">
        <v>85</v>
      </c>
      <c r="J132" t="str">
        <f t="shared" si="8"/>
        <v>High Cost</v>
      </c>
      <c r="K132" t="str">
        <f t="shared" si="9"/>
        <v>Adult</v>
      </c>
    </row>
    <row r="133" spans="1:11" x14ac:dyDescent="0.3">
      <c r="A133" t="s">
        <v>158</v>
      </c>
      <c r="B133" t="s">
        <v>22</v>
      </c>
      <c r="C133" t="s">
        <v>11</v>
      </c>
      <c r="D133" t="s">
        <v>23</v>
      </c>
      <c r="E133" t="s">
        <v>18</v>
      </c>
      <c r="F133">
        <v>53</v>
      </c>
      <c r="G133">
        <v>103548.4</v>
      </c>
      <c r="H133">
        <v>27</v>
      </c>
      <c r="I133">
        <v>74</v>
      </c>
      <c r="J133" t="str">
        <f t="shared" si="8"/>
        <v>High Cost</v>
      </c>
      <c r="K133" t="str">
        <f t="shared" si="9"/>
        <v>Middle-aged</v>
      </c>
    </row>
    <row r="134" spans="1:11" x14ac:dyDescent="0.3">
      <c r="A134" t="s">
        <v>159</v>
      </c>
      <c r="B134" t="s">
        <v>31</v>
      </c>
      <c r="C134" t="s">
        <v>11</v>
      </c>
      <c r="D134" t="s">
        <v>32</v>
      </c>
      <c r="E134" t="s">
        <v>29</v>
      </c>
      <c r="F134">
        <v>50</v>
      </c>
      <c r="G134">
        <v>62134.18</v>
      </c>
      <c r="H134">
        <v>13</v>
      </c>
      <c r="I134">
        <v>40</v>
      </c>
      <c r="J134" t="str">
        <f t="shared" si="8"/>
        <v>Low  Cost</v>
      </c>
      <c r="K134" t="str">
        <f t="shared" si="9"/>
        <v>Middle-aged</v>
      </c>
    </row>
    <row r="135" spans="1:11" x14ac:dyDescent="0.3">
      <c r="A135" t="s">
        <v>160</v>
      </c>
      <c r="B135" t="s">
        <v>36</v>
      </c>
      <c r="C135" t="s">
        <v>41</v>
      </c>
      <c r="D135" t="s">
        <v>32</v>
      </c>
      <c r="E135" t="s">
        <v>18</v>
      </c>
      <c r="F135">
        <v>7</v>
      </c>
      <c r="G135">
        <v>59235.13</v>
      </c>
      <c r="H135">
        <v>12</v>
      </c>
      <c r="I135">
        <v>42</v>
      </c>
      <c r="J135" t="str">
        <f t="shared" si="8"/>
        <v>Low  Cost</v>
      </c>
      <c r="K135" t="str">
        <f t="shared" si="9"/>
        <v>Child</v>
      </c>
    </row>
    <row r="136" spans="1:11" x14ac:dyDescent="0.3">
      <c r="A136" t="s">
        <v>161</v>
      </c>
      <c r="B136" t="s">
        <v>10</v>
      </c>
      <c r="C136" t="s">
        <v>28</v>
      </c>
      <c r="D136" t="s">
        <v>32</v>
      </c>
      <c r="E136" t="s">
        <v>18</v>
      </c>
      <c r="F136">
        <v>38</v>
      </c>
      <c r="G136">
        <v>118022.05</v>
      </c>
      <c r="H136">
        <v>17</v>
      </c>
      <c r="I136">
        <v>79</v>
      </c>
      <c r="J136" t="str">
        <f t="shared" si="8"/>
        <v>High Cost</v>
      </c>
      <c r="K136" t="str">
        <f t="shared" si="9"/>
        <v>Adult</v>
      </c>
    </row>
    <row r="137" spans="1:11" x14ac:dyDescent="0.3">
      <c r="A137" t="s">
        <v>162</v>
      </c>
      <c r="B137" t="s">
        <v>25</v>
      </c>
      <c r="C137" t="s">
        <v>11</v>
      </c>
      <c r="D137" t="s">
        <v>26</v>
      </c>
      <c r="E137" t="s">
        <v>13</v>
      </c>
      <c r="F137">
        <v>49</v>
      </c>
      <c r="G137">
        <v>127750.62</v>
      </c>
      <c r="H137">
        <v>18</v>
      </c>
      <c r="I137">
        <v>60</v>
      </c>
      <c r="J137" t="str">
        <f t="shared" si="8"/>
        <v>High Cost</v>
      </c>
      <c r="K137" t="str">
        <f t="shared" si="9"/>
        <v>Middle-aged</v>
      </c>
    </row>
    <row r="138" spans="1:11" x14ac:dyDescent="0.3">
      <c r="A138" t="s">
        <v>163</v>
      </c>
      <c r="B138" t="s">
        <v>15</v>
      </c>
      <c r="C138" t="s">
        <v>28</v>
      </c>
      <c r="D138" t="s">
        <v>17</v>
      </c>
      <c r="E138" t="s">
        <v>29</v>
      </c>
      <c r="F138">
        <v>27</v>
      </c>
      <c r="G138">
        <v>79666.86</v>
      </c>
      <c r="H138">
        <v>16</v>
      </c>
      <c r="I138">
        <v>85</v>
      </c>
      <c r="J138" t="str">
        <f t="shared" si="8"/>
        <v>High Cost</v>
      </c>
      <c r="K138" t="str">
        <f t="shared" si="9"/>
        <v>Young Adult</v>
      </c>
    </row>
    <row r="139" spans="1:11" x14ac:dyDescent="0.3">
      <c r="A139" t="s">
        <v>164</v>
      </c>
      <c r="B139" t="s">
        <v>22</v>
      </c>
      <c r="C139" t="s">
        <v>41</v>
      </c>
      <c r="D139" t="s">
        <v>12</v>
      </c>
      <c r="E139" t="s">
        <v>13</v>
      </c>
      <c r="F139">
        <v>65</v>
      </c>
      <c r="G139">
        <v>120956.04</v>
      </c>
      <c r="H139">
        <v>25</v>
      </c>
      <c r="I139">
        <v>95</v>
      </c>
      <c r="J139" t="str">
        <f t="shared" si="8"/>
        <v>High Cost</v>
      </c>
      <c r="K139" t="str">
        <f t="shared" si="9"/>
        <v>Senior</v>
      </c>
    </row>
    <row r="140" spans="1:11" x14ac:dyDescent="0.3">
      <c r="A140" t="s">
        <v>165</v>
      </c>
      <c r="B140" t="s">
        <v>10</v>
      </c>
      <c r="C140" t="s">
        <v>28</v>
      </c>
      <c r="D140" t="s">
        <v>26</v>
      </c>
      <c r="E140" t="s">
        <v>18</v>
      </c>
      <c r="F140">
        <v>58</v>
      </c>
      <c r="G140">
        <v>100338.81</v>
      </c>
      <c r="H140">
        <v>7</v>
      </c>
      <c r="I140">
        <v>59</v>
      </c>
      <c r="J140" t="str">
        <f t="shared" si="8"/>
        <v>High Cost</v>
      </c>
      <c r="K140" t="str">
        <f t="shared" si="9"/>
        <v>Middle-aged</v>
      </c>
    </row>
    <row r="141" spans="1:11" x14ac:dyDescent="0.3">
      <c r="A141" t="s">
        <v>166</v>
      </c>
      <c r="B141" t="s">
        <v>31</v>
      </c>
      <c r="C141" t="s">
        <v>28</v>
      </c>
      <c r="D141" t="s">
        <v>12</v>
      </c>
      <c r="E141" t="s">
        <v>13</v>
      </c>
      <c r="F141">
        <v>22</v>
      </c>
      <c r="G141">
        <v>120621.62</v>
      </c>
      <c r="H141">
        <v>21</v>
      </c>
      <c r="I141">
        <v>74</v>
      </c>
      <c r="J141" t="str">
        <f t="shared" si="8"/>
        <v>High Cost</v>
      </c>
      <c r="K141" t="str">
        <f t="shared" si="9"/>
        <v>Young Adult</v>
      </c>
    </row>
    <row r="142" spans="1:11" x14ac:dyDescent="0.3">
      <c r="A142" t="s">
        <v>167</v>
      </c>
      <c r="B142" t="s">
        <v>10</v>
      </c>
      <c r="C142" t="s">
        <v>28</v>
      </c>
      <c r="D142" t="s">
        <v>23</v>
      </c>
      <c r="E142" t="s">
        <v>18</v>
      </c>
      <c r="F142">
        <v>10</v>
      </c>
      <c r="G142">
        <v>21143.75</v>
      </c>
      <c r="H142">
        <v>2</v>
      </c>
      <c r="I142">
        <v>42</v>
      </c>
      <c r="J142" t="str">
        <f t="shared" si="8"/>
        <v>Low  Cost</v>
      </c>
      <c r="K142" t="str">
        <f t="shared" si="9"/>
        <v>Child</v>
      </c>
    </row>
    <row r="143" spans="1:11" x14ac:dyDescent="0.3">
      <c r="A143" t="s">
        <v>168</v>
      </c>
      <c r="B143" t="s">
        <v>31</v>
      </c>
      <c r="C143" t="s">
        <v>28</v>
      </c>
      <c r="D143" t="s">
        <v>32</v>
      </c>
      <c r="E143" t="s">
        <v>29</v>
      </c>
      <c r="F143">
        <v>37</v>
      </c>
      <c r="G143">
        <v>58168.06</v>
      </c>
      <c r="H143">
        <v>3</v>
      </c>
      <c r="I143">
        <v>84</v>
      </c>
      <c r="J143" t="str">
        <f t="shared" si="8"/>
        <v>Low  Cost</v>
      </c>
      <c r="K143" t="str">
        <f t="shared" si="9"/>
        <v>Adult</v>
      </c>
    </row>
    <row r="144" spans="1:11" x14ac:dyDescent="0.3">
      <c r="A144" t="s">
        <v>169</v>
      </c>
      <c r="B144" t="s">
        <v>15</v>
      </c>
      <c r="C144" t="s">
        <v>41</v>
      </c>
      <c r="D144" t="s">
        <v>32</v>
      </c>
      <c r="E144" t="s">
        <v>13</v>
      </c>
      <c r="F144">
        <v>57</v>
      </c>
      <c r="G144">
        <v>121600.57</v>
      </c>
      <c r="H144">
        <v>19</v>
      </c>
      <c r="I144">
        <v>94</v>
      </c>
      <c r="J144" t="str">
        <f t="shared" si="8"/>
        <v>High Cost</v>
      </c>
      <c r="K144" t="str">
        <f t="shared" si="9"/>
        <v>Middle-aged</v>
      </c>
    </row>
    <row r="145" spans="1:11" x14ac:dyDescent="0.3">
      <c r="A145" t="s">
        <v>170</v>
      </c>
      <c r="B145" t="s">
        <v>25</v>
      </c>
      <c r="C145" t="s">
        <v>16</v>
      </c>
      <c r="D145" t="s">
        <v>26</v>
      </c>
      <c r="E145" t="s">
        <v>18</v>
      </c>
      <c r="F145">
        <v>26</v>
      </c>
      <c r="G145">
        <v>60409.31</v>
      </c>
      <c r="H145">
        <v>25</v>
      </c>
      <c r="I145">
        <v>94</v>
      </c>
      <c r="J145" t="str">
        <f t="shared" si="8"/>
        <v>Low  Cost</v>
      </c>
      <c r="K145" t="str">
        <f t="shared" si="9"/>
        <v>Young Adult</v>
      </c>
    </row>
    <row r="146" spans="1:11" x14ac:dyDescent="0.3">
      <c r="A146" t="s">
        <v>171</v>
      </c>
      <c r="B146" t="s">
        <v>10</v>
      </c>
      <c r="C146" t="s">
        <v>16</v>
      </c>
      <c r="D146" t="s">
        <v>23</v>
      </c>
      <c r="E146" t="s">
        <v>18</v>
      </c>
      <c r="F146">
        <v>51</v>
      </c>
      <c r="G146">
        <v>148766.01</v>
      </c>
      <c r="H146">
        <v>21</v>
      </c>
      <c r="I146">
        <v>76</v>
      </c>
      <c r="J146" t="str">
        <f t="shared" si="8"/>
        <v>High Cost</v>
      </c>
      <c r="K146" t="str">
        <f t="shared" si="9"/>
        <v>Middle-aged</v>
      </c>
    </row>
    <row r="147" spans="1:11" x14ac:dyDescent="0.3">
      <c r="A147" t="s">
        <v>172</v>
      </c>
      <c r="B147" t="s">
        <v>10</v>
      </c>
      <c r="C147" t="s">
        <v>28</v>
      </c>
      <c r="D147" t="s">
        <v>26</v>
      </c>
      <c r="E147" t="s">
        <v>18</v>
      </c>
      <c r="F147">
        <v>1</v>
      </c>
      <c r="G147">
        <v>46211.03</v>
      </c>
      <c r="H147">
        <v>4</v>
      </c>
      <c r="I147">
        <v>97</v>
      </c>
      <c r="J147" t="str">
        <f t="shared" si="8"/>
        <v>Low  Cost</v>
      </c>
      <c r="K147" t="str">
        <f t="shared" si="9"/>
        <v>Infant/Toddler</v>
      </c>
    </row>
    <row r="148" spans="1:11" x14ac:dyDescent="0.3">
      <c r="A148" t="s">
        <v>173</v>
      </c>
      <c r="B148" t="s">
        <v>36</v>
      </c>
      <c r="C148" t="s">
        <v>11</v>
      </c>
      <c r="D148" t="s">
        <v>26</v>
      </c>
      <c r="E148" t="s">
        <v>18</v>
      </c>
      <c r="F148">
        <v>61</v>
      </c>
      <c r="G148">
        <v>32781.94</v>
      </c>
      <c r="H148">
        <v>1</v>
      </c>
      <c r="I148">
        <v>83</v>
      </c>
      <c r="J148" t="str">
        <f t="shared" si="8"/>
        <v>Low  Cost</v>
      </c>
      <c r="K148" t="str">
        <f t="shared" si="9"/>
        <v>Senior</v>
      </c>
    </row>
    <row r="149" spans="1:11" x14ac:dyDescent="0.3">
      <c r="A149" t="s">
        <v>174</v>
      </c>
      <c r="B149" t="s">
        <v>36</v>
      </c>
      <c r="C149" t="s">
        <v>16</v>
      </c>
      <c r="D149" t="s">
        <v>17</v>
      </c>
      <c r="E149" t="s">
        <v>29</v>
      </c>
      <c r="F149">
        <v>34</v>
      </c>
      <c r="G149">
        <v>139264.72</v>
      </c>
      <c r="H149">
        <v>14</v>
      </c>
      <c r="I149">
        <v>72</v>
      </c>
      <c r="J149" t="str">
        <f t="shared" si="8"/>
        <v>High Cost</v>
      </c>
      <c r="K149" t="str">
        <f t="shared" si="9"/>
        <v>Adult</v>
      </c>
    </row>
    <row r="150" spans="1:11" x14ac:dyDescent="0.3">
      <c r="A150" t="s">
        <v>175</v>
      </c>
      <c r="B150" t="s">
        <v>15</v>
      </c>
      <c r="C150" t="s">
        <v>11</v>
      </c>
      <c r="D150" t="s">
        <v>32</v>
      </c>
      <c r="E150" t="s">
        <v>13</v>
      </c>
      <c r="F150">
        <v>78</v>
      </c>
      <c r="G150">
        <v>15165.98</v>
      </c>
      <c r="H150">
        <v>25</v>
      </c>
      <c r="I150">
        <v>86</v>
      </c>
      <c r="J150" t="str">
        <f t="shared" si="8"/>
        <v>Low  Cost</v>
      </c>
      <c r="K150" t="str">
        <f t="shared" si="9"/>
        <v>Elderly</v>
      </c>
    </row>
    <row r="151" spans="1:11" x14ac:dyDescent="0.3">
      <c r="A151" t="s">
        <v>176</v>
      </c>
      <c r="B151" t="s">
        <v>10</v>
      </c>
      <c r="C151" t="s">
        <v>28</v>
      </c>
      <c r="D151" t="s">
        <v>17</v>
      </c>
      <c r="E151" t="s">
        <v>18</v>
      </c>
      <c r="F151">
        <v>73</v>
      </c>
      <c r="G151">
        <v>133910.69</v>
      </c>
      <c r="H151">
        <v>22</v>
      </c>
      <c r="I151">
        <v>87</v>
      </c>
      <c r="J151" t="str">
        <f t="shared" si="8"/>
        <v>High Cost</v>
      </c>
      <c r="K151" t="str">
        <f t="shared" si="9"/>
        <v>Senior</v>
      </c>
    </row>
    <row r="152" spans="1:11" x14ac:dyDescent="0.3">
      <c r="A152" t="s">
        <v>177</v>
      </c>
      <c r="B152" t="s">
        <v>25</v>
      </c>
      <c r="C152" t="s">
        <v>28</v>
      </c>
      <c r="D152" t="s">
        <v>12</v>
      </c>
      <c r="E152" t="s">
        <v>18</v>
      </c>
      <c r="F152">
        <v>8</v>
      </c>
      <c r="G152">
        <v>82835.539999999994</v>
      </c>
      <c r="H152">
        <v>24</v>
      </c>
      <c r="I152">
        <v>94</v>
      </c>
      <c r="J152" t="str">
        <f t="shared" si="8"/>
        <v>High Cost</v>
      </c>
      <c r="K152" t="str">
        <f t="shared" si="9"/>
        <v>Child</v>
      </c>
    </row>
    <row r="153" spans="1:11" x14ac:dyDescent="0.3">
      <c r="A153" t="s">
        <v>178</v>
      </c>
      <c r="B153" t="s">
        <v>10</v>
      </c>
      <c r="C153" t="s">
        <v>16</v>
      </c>
      <c r="D153" t="s">
        <v>32</v>
      </c>
      <c r="E153" t="s">
        <v>18</v>
      </c>
      <c r="F153">
        <v>16</v>
      </c>
      <c r="G153">
        <v>109945.06</v>
      </c>
      <c r="H153">
        <v>23</v>
      </c>
      <c r="I153">
        <v>76</v>
      </c>
      <c r="J153" t="str">
        <f t="shared" si="8"/>
        <v>High Cost</v>
      </c>
      <c r="K153" t="str">
        <f t="shared" si="9"/>
        <v>Teenager</v>
      </c>
    </row>
    <row r="154" spans="1:11" x14ac:dyDescent="0.3">
      <c r="A154" t="s">
        <v>179</v>
      </c>
      <c r="B154" t="s">
        <v>10</v>
      </c>
      <c r="C154" t="s">
        <v>16</v>
      </c>
      <c r="D154" t="s">
        <v>26</v>
      </c>
      <c r="E154" t="s">
        <v>29</v>
      </c>
      <c r="F154">
        <v>3</v>
      </c>
      <c r="G154">
        <v>40894.400000000001</v>
      </c>
      <c r="H154">
        <v>20</v>
      </c>
      <c r="I154">
        <v>46</v>
      </c>
      <c r="J154" t="str">
        <f t="shared" si="8"/>
        <v>Low  Cost</v>
      </c>
      <c r="K154" t="str">
        <f t="shared" si="9"/>
        <v>Infant/Toddler</v>
      </c>
    </row>
    <row r="155" spans="1:11" x14ac:dyDescent="0.3">
      <c r="A155" t="s">
        <v>180</v>
      </c>
      <c r="B155" t="s">
        <v>10</v>
      </c>
      <c r="C155" t="s">
        <v>16</v>
      </c>
      <c r="D155" t="s">
        <v>26</v>
      </c>
      <c r="E155" t="s">
        <v>29</v>
      </c>
      <c r="F155">
        <v>28</v>
      </c>
      <c r="G155">
        <v>5522.04</v>
      </c>
      <c r="H155">
        <v>20</v>
      </c>
      <c r="I155">
        <v>95</v>
      </c>
      <c r="J155" t="str">
        <f t="shared" si="8"/>
        <v>Low  Cost</v>
      </c>
      <c r="K155" t="str">
        <f t="shared" si="9"/>
        <v>Young Adult</v>
      </c>
    </row>
    <row r="156" spans="1:11" x14ac:dyDescent="0.3">
      <c r="A156" t="s">
        <v>181</v>
      </c>
      <c r="B156" t="s">
        <v>22</v>
      </c>
      <c r="C156" t="s">
        <v>41</v>
      </c>
      <c r="D156" t="s">
        <v>26</v>
      </c>
      <c r="E156" t="s">
        <v>18</v>
      </c>
      <c r="F156">
        <v>38</v>
      </c>
      <c r="G156">
        <v>121567.96</v>
      </c>
      <c r="H156">
        <v>26</v>
      </c>
      <c r="I156">
        <v>65</v>
      </c>
      <c r="J156" t="str">
        <f t="shared" si="8"/>
        <v>High Cost</v>
      </c>
      <c r="K156" t="str">
        <f t="shared" si="9"/>
        <v>Adult</v>
      </c>
    </row>
    <row r="157" spans="1:11" x14ac:dyDescent="0.3">
      <c r="A157" t="s">
        <v>182</v>
      </c>
      <c r="B157" t="s">
        <v>10</v>
      </c>
      <c r="C157" t="s">
        <v>41</v>
      </c>
      <c r="D157" t="s">
        <v>32</v>
      </c>
      <c r="E157" t="s">
        <v>13</v>
      </c>
      <c r="F157">
        <v>2</v>
      </c>
      <c r="G157">
        <v>14606.74</v>
      </c>
      <c r="H157">
        <v>30</v>
      </c>
      <c r="I157">
        <v>75</v>
      </c>
      <c r="J157" t="str">
        <f t="shared" si="8"/>
        <v>Low  Cost</v>
      </c>
      <c r="K157" t="str">
        <f t="shared" si="9"/>
        <v>Infant/Toddler</v>
      </c>
    </row>
    <row r="158" spans="1:11" x14ac:dyDescent="0.3">
      <c r="A158" t="s">
        <v>183</v>
      </c>
      <c r="B158" t="s">
        <v>15</v>
      </c>
      <c r="C158" t="s">
        <v>28</v>
      </c>
      <c r="D158" t="s">
        <v>23</v>
      </c>
      <c r="E158" t="s">
        <v>18</v>
      </c>
      <c r="F158">
        <v>6</v>
      </c>
      <c r="G158">
        <v>116568.72</v>
      </c>
      <c r="H158">
        <v>24</v>
      </c>
      <c r="I158">
        <v>65</v>
      </c>
      <c r="J158" t="str">
        <f t="shared" si="8"/>
        <v>High Cost</v>
      </c>
      <c r="K158" t="str">
        <f t="shared" si="9"/>
        <v>Child</v>
      </c>
    </row>
    <row r="159" spans="1:11" x14ac:dyDescent="0.3">
      <c r="A159" t="s">
        <v>184</v>
      </c>
      <c r="B159" t="s">
        <v>25</v>
      </c>
      <c r="C159" t="s">
        <v>16</v>
      </c>
      <c r="D159" t="s">
        <v>32</v>
      </c>
      <c r="E159" t="s">
        <v>18</v>
      </c>
      <c r="F159">
        <v>33</v>
      </c>
      <c r="G159">
        <v>70189.8</v>
      </c>
      <c r="H159">
        <v>14</v>
      </c>
      <c r="I159">
        <v>88</v>
      </c>
      <c r="J159" t="str">
        <f t="shared" si="8"/>
        <v>Low  Cost</v>
      </c>
      <c r="K159" t="str">
        <f t="shared" si="9"/>
        <v>Adult</v>
      </c>
    </row>
    <row r="160" spans="1:11" x14ac:dyDescent="0.3">
      <c r="A160" t="s">
        <v>185</v>
      </c>
      <c r="B160" t="s">
        <v>36</v>
      </c>
      <c r="C160" t="s">
        <v>16</v>
      </c>
      <c r="D160" t="s">
        <v>26</v>
      </c>
      <c r="E160" t="s">
        <v>29</v>
      </c>
      <c r="F160">
        <v>28</v>
      </c>
      <c r="G160">
        <v>136392.39000000001</v>
      </c>
      <c r="H160">
        <v>22</v>
      </c>
      <c r="I160">
        <v>77</v>
      </c>
      <c r="J160" t="str">
        <f t="shared" si="8"/>
        <v>High Cost</v>
      </c>
      <c r="K160" t="str">
        <f t="shared" si="9"/>
        <v>Young Adult</v>
      </c>
    </row>
    <row r="161" spans="1:11" x14ac:dyDescent="0.3">
      <c r="A161" t="s">
        <v>186</v>
      </c>
      <c r="B161" t="s">
        <v>36</v>
      </c>
      <c r="C161" t="s">
        <v>41</v>
      </c>
      <c r="D161" t="s">
        <v>26</v>
      </c>
      <c r="E161" t="s">
        <v>29</v>
      </c>
      <c r="F161">
        <v>56</v>
      </c>
      <c r="G161">
        <v>139281.34</v>
      </c>
      <c r="H161">
        <v>24</v>
      </c>
      <c r="I161">
        <v>96</v>
      </c>
      <c r="J161" t="str">
        <f t="shared" si="8"/>
        <v>High Cost</v>
      </c>
      <c r="K161" t="str">
        <f t="shared" si="9"/>
        <v>Middle-aged</v>
      </c>
    </row>
    <row r="162" spans="1:11" x14ac:dyDescent="0.3">
      <c r="A162" t="s">
        <v>187</v>
      </c>
      <c r="B162" t="s">
        <v>15</v>
      </c>
      <c r="C162" t="s">
        <v>11</v>
      </c>
      <c r="D162" t="s">
        <v>26</v>
      </c>
      <c r="E162" t="s">
        <v>18</v>
      </c>
      <c r="F162">
        <v>80</v>
      </c>
      <c r="G162">
        <v>140818.37</v>
      </c>
      <c r="H162">
        <v>9</v>
      </c>
      <c r="I162">
        <v>42</v>
      </c>
      <c r="J162" t="str">
        <f t="shared" ref="J162:J193" si="10">IF(G162&gt;75000,"High Cost", "Low  Cost")</f>
        <v>High Cost</v>
      </c>
      <c r="K162" t="str">
        <f t="shared" ref="K162:K193" si="11">IF(F162&lt;=5, "Infant/Toddler",
IF(F162&lt;=12,"Child",
IF(F162&lt;=19,"Teenager",
IF(F162&lt;=29,"Young Adult",
IF(F162&lt;=44,"Adult",
IF(F162&lt;=59,"Middle-aged",
IF(F162&lt;=74,"Senior","Elderly")))))))</f>
        <v>Elderly</v>
      </c>
    </row>
    <row r="163" spans="1:11" x14ac:dyDescent="0.3">
      <c r="A163" t="s">
        <v>188</v>
      </c>
      <c r="B163" t="s">
        <v>31</v>
      </c>
      <c r="C163" t="s">
        <v>41</v>
      </c>
      <c r="D163" t="s">
        <v>17</v>
      </c>
      <c r="E163" t="s">
        <v>18</v>
      </c>
      <c r="F163">
        <v>74</v>
      </c>
      <c r="G163">
        <v>56018.43</v>
      </c>
      <c r="H163">
        <v>7</v>
      </c>
      <c r="I163">
        <v>77</v>
      </c>
      <c r="J163" t="str">
        <f t="shared" si="10"/>
        <v>Low  Cost</v>
      </c>
      <c r="K163" t="str">
        <f t="shared" si="11"/>
        <v>Senior</v>
      </c>
    </row>
    <row r="164" spans="1:11" x14ac:dyDescent="0.3">
      <c r="A164" t="s">
        <v>189</v>
      </c>
      <c r="B164" t="s">
        <v>22</v>
      </c>
      <c r="C164" t="s">
        <v>41</v>
      </c>
      <c r="D164" t="s">
        <v>32</v>
      </c>
      <c r="E164" t="s">
        <v>29</v>
      </c>
      <c r="F164">
        <v>72</v>
      </c>
      <c r="G164">
        <v>144841.74</v>
      </c>
      <c r="H164">
        <v>5</v>
      </c>
      <c r="I164">
        <v>57</v>
      </c>
      <c r="J164" t="str">
        <f t="shared" si="10"/>
        <v>High Cost</v>
      </c>
      <c r="K164" t="str">
        <f t="shared" si="11"/>
        <v>Senior</v>
      </c>
    </row>
    <row r="165" spans="1:11" x14ac:dyDescent="0.3">
      <c r="A165" t="s">
        <v>190</v>
      </c>
      <c r="B165" t="s">
        <v>31</v>
      </c>
      <c r="C165" t="s">
        <v>11</v>
      </c>
      <c r="D165" t="s">
        <v>23</v>
      </c>
      <c r="E165" t="s">
        <v>18</v>
      </c>
      <c r="F165">
        <v>14</v>
      </c>
      <c r="G165">
        <v>123398.79</v>
      </c>
      <c r="H165">
        <v>21</v>
      </c>
      <c r="I165">
        <v>77</v>
      </c>
      <c r="J165" t="str">
        <f t="shared" si="10"/>
        <v>High Cost</v>
      </c>
      <c r="K165" t="str">
        <f t="shared" si="11"/>
        <v>Teenager</v>
      </c>
    </row>
    <row r="166" spans="1:11" x14ac:dyDescent="0.3">
      <c r="A166" t="s">
        <v>191</v>
      </c>
      <c r="B166" t="s">
        <v>15</v>
      </c>
      <c r="C166" t="s">
        <v>41</v>
      </c>
      <c r="D166" t="s">
        <v>32</v>
      </c>
      <c r="E166" t="s">
        <v>18</v>
      </c>
      <c r="F166">
        <v>48</v>
      </c>
      <c r="G166">
        <v>10911.55</v>
      </c>
      <c r="H166">
        <v>19</v>
      </c>
      <c r="I166">
        <v>47</v>
      </c>
      <c r="J166" t="str">
        <f t="shared" si="10"/>
        <v>Low  Cost</v>
      </c>
      <c r="K166" t="str">
        <f t="shared" si="11"/>
        <v>Middle-aged</v>
      </c>
    </row>
    <row r="167" spans="1:11" x14ac:dyDescent="0.3">
      <c r="A167" t="s">
        <v>192</v>
      </c>
      <c r="B167" t="s">
        <v>36</v>
      </c>
      <c r="C167" t="s">
        <v>16</v>
      </c>
      <c r="D167" t="s">
        <v>32</v>
      </c>
      <c r="E167" t="s">
        <v>13</v>
      </c>
      <c r="F167">
        <v>87</v>
      </c>
      <c r="G167">
        <v>96532.96</v>
      </c>
      <c r="H167">
        <v>7</v>
      </c>
      <c r="I167">
        <v>93</v>
      </c>
      <c r="J167" t="str">
        <f t="shared" si="10"/>
        <v>High Cost</v>
      </c>
      <c r="K167" t="str">
        <f t="shared" si="11"/>
        <v>Elderly</v>
      </c>
    </row>
    <row r="168" spans="1:11" x14ac:dyDescent="0.3">
      <c r="A168" t="s">
        <v>193</v>
      </c>
      <c r="B168" t="s">
        <v>15</v>
      </c>
      <c r="C168" t="s">
        <v>41</v>
      </c>
      <c r="D168" t="s">
        <v>32</v>
      </c>
      <c r="E168" t="s">
        <v>29</v>
      </c>
      <c r="F168">
        <v>49</v>
      </c>
      <c r="G168">
        <v>126056.09</v>
      </c>
      <c r="H168">
        <v>11</v>
      </c>
      <c r="I168">
        <v>78</v>
      </c>
      <c r="J168" t="str">
        <f t="shared" si="10"/>
        <v>High Cost</v>
      </c>
      <c r="K168" t="str">
        <f t="shared" si="11"/>
        <v>Middle-aged</v>
      </c>
    </row>
    <row r="169" spans="1:11" x14ac:dyDescent="0.3">
      <c r="A169" t="s">
        <v>194</v>
      </c>
      <c r="B169" t="s">
        <v>36</v>
      </c>
      <c r="C169" t="s">
        <v>41</v>
      </c>
      <c r="D169" t="s">
        <v>32</v>
      </c>
      <c r="E169" t="s">
        <v>29</v>
      </c>
      <c r="F169">
        <v>42</v>
      </c>
      <c r="G169">
        <v>92788.13</v>
      </c>
      <c r="H169">
        <v>4</v>
      </c>
      <c r="I169">
        <v>41</v>
      </c>
      <c r="J169" t="str">
        <f t="shared" si="10"/>
        <v>High Cost</v>
      </c>
      <c r="K169" t="str">
        <f t="shared" si="11"/>
        <v>Adult</v>
      </c>
    </row>
    <row r="170" spans="1:11" x14ac:dyDescent="0.3">
      <c r="A170" t="s">
        <v>195</v>
      </c>
      <c r="B170" t="s">
        <v>15</v>
      </c>
      <c r="C170" t="s">
        <v>11</v>
      </c>
      <c r="D170" t="s">
        <v>26</v>
      </c>
      <c r="E170" t="s">
        <v>18</v>
      </c>
      <c r="F170">
        <v>36</v>
      </c>
      <c r="G170">
        <v>24614.639999999999</v>
      </c>
      <c r="H170">
        <v>30</v>
      </c>
      <c r="I170">
        <v>57</v>
      </c>
      <c r="J170" t="str">
        <f t="shared" si="10"/>
        <v>Low  Cost</v>
      </c>
      <c r="K170" t="str">
        <f t="shared" si="11"/>
        <v>Adult</v>
      </c>
    </row>
    <row r="171" spans="1:11" x14ac:dyDescent="0.3">
      <c r="A171" t="s">
        <v>196</v>
      </c>
      <c r="B171" t="s">
        <v>31</v>
      </c>
      <c r="C171" t="s">
        <v>11</v>
      </c>
      <c r="D171" t="s">
        <v>12</v>
      </c>
      <c r="E171" t="s">
        <v>29</v>
      </c>
      <c r="F171">
        <v>56</v>
      </c>
      <c r="G171">
        <v>36862.400000000001</v>
      </c>
      <c r="H171">
        <v>28</v>
      </c>
      <c r="I171">
        <v>66</v>
      </c>
      <c r="J171" t="str">
        <f t="shared" si="10"/>
        <v>Low  Cost</v>
      </c>
      <c r="K171" t="str">
        <f t="shared" si="11"/>
        <v>Middle-aged</v>
      </c>
    </row>
    <row r="172" spans="1:11" x14ac:dyDescent="0.3">
      <c r="A172" t="s">
        <v>197</v>
      </c>
      <c r="B172" t="s">
        <v>10</v>
      </c>
      <c r="C172" t="s">
        <v>16</v>
      </c>
      <c r="D172" t="s">
        <v>12</v>
      </c>
      <c r="E172" t="s">
        <v>18</v>
      </c>
      <c r="F172">
        <v>39</v>
      </c>
      <c r="G172">
        <v>84065.42</v>
      </c>
      <c r="H172">
        <v>28</v>
      </c>
      <c r="I172">
        <v>50</v>
      </c>
      <c r="J172" t="str">
        <f t="shared" si="10"/>
        <v>High Cost</v>
      </c>
      <c r="K172" t="str">
        <f t="shared" si="11"/>
        <v>Adult</v>
      </c>
    </row>
    <row r="173" spans="1:11" x14ac:dyDescent="0.3">
      <c r="A173" t="s">
        <v>198</v>
      </c>
      <c r="B173" t="s">
        <v>10</v>
      </c>
      <c r="C173" t="s">
        <v>41</v>
      </c>
      <c r="D173" t="s">
        <v>12</v>
      </c>
      <c r="E173" t="s">
        <v>29</v>
      </c>
      <c r="F173">
        <v>42</v>
      </c>
      <c r="G173">
        <v>83047.11</v>
      </c>
      <c r="H173">
        <v>13</v>
      </c>
      <c r="I173">
        <v>50</v>
      </c>
      <c r="J173" t="str">
        <f t="shared" si="10"/>
        <v>High Cost</v>
      </c>
      <c r="K173" t="str">
        <f t="shared" si="11"/>
        <v>Adult</v>
      </c>
    </row>
    <row r="174" spans="1:11" x14ac:dyDescent="0.3">
      <c r="A174" t="s">
        <v>199</v>
      </c>
      <c r="B174" t="s">
        <v>10</v>
      </c>
      <c r="C174" t="s">
        <v>11</v>
      </c>
      <c r="D174" t="s">
        <v>26</v>
      </c>
      <c r="E174" t="s">
        <v>29</v>
      </c>
      <c r="F174">
        <v>59</v>
      </c>
      <c r="G174">
        <v>96326.11</v>
      </c>
      <c r="H174">
        <v>17</v>
      </c>
      <c r="I174">
        <v>82</v>
      </c>
      <c r="J174" t="str">
        <f t="shared" si="10"/>
        <v>High Cost</v>
      </c>
      <c r="K174" t="str">
        <f t="shared" si="11"/>
        <v>Middle-aged</v>
      </c>
    </row>
    <row r="175" spans="1:11" x14ac:dyDescent="0.3">
      <c r="A175" t="s">
        <v>200</v>
      </c>
      <c r="B175" t="s">
        <v>36</v>
      </c>
      <c r="C175" t="s">
        <v>41</v>
      </c>
      <c r="D175" t="s">
        <v>12</v>
      </c>
      <c r="E175" t="s">
        <v>18</v>
      </c>
      <c r="F175">
        <v>67</v>
      </c>
      <c r="G175">
        <v>49487.73</v>
      </c>
      <c r="H175">
        <v>27</v>
      </c>
      <c r="I175">
        <v>72</v>
      </c>
      <c r="J175" t="str">
        <f t="shared" si="10"/>
        <v>Low  Cost</v>
      </c>
      <c r="K175" t="str">
        <f t="shared" si="11"/>
        <v>Senior</v>
      </c>
    </row>
    <row r="176" spans="1:11" x14ac:dyDescent="0.3">
      <c r="A176" t="s">
        <v>201</v>
      </c>
      <c r="B176" t="s">
        <v>10</v>
      </c>
      <c r="C176" t="s">
        <v>41</v>
      </c>
      <c r="D176" t="s">
        <v>17</v>
      </c>
      <c r="E176" t="s">
        <v>18</v>
      </c>
      <c r="F176">
        <v>11</v>
      </c>
      <c r="G176">
        <v>18263.25</v>
      </c>
      <c r="H176">
        <v>29</v>
      </c>
      <c r="I176">
        <v>83</v>
      </c>
      <c r="J176" t="str">
        <f t="shared" si="10"/>
        <v>Low  Cost</v>
      </c>
      <c r="K176" t="str">
        <f t="shared" si="11"/>
        <v>Child</v>
      </c>
    </row>
    <row r="177" spans="1:11" x14ac:dyDescent="0.3">
      <c r="A177" t="s">
        <v>202</v>
      </c>
      <c r="B177" t="s">
        <v>31</v>
      </c>
      <c r="C177" t="s">
        <v>28</v>
      </c>
      <c r="D177" t="s">
        <v>12</v>
      </c>
      <c r="E177" t="s">
        <v>13</v>
      </c>
      <c r="F177">
        <v>3</v>
      </c>
      <c r="G177">
        <v>149013.84</v>
      </c>
      <c r="H177">
        <v>26</v>
      </c>
      <c r="I177">
        <v>93</v>
      </c>
      <c r="J177" t="str">
        <f t="shared" si="10"/>
        <v>High Cost</v>
      </c>
      <c r="K177" t="str">
        <f t="shared" si="11"/>
        <v>Infant/Toddler</v>
      </c>
    </row>
    <row r="178" spans="1:11" x14ac:dyDescent="0.3">
      <c r="A178" t="s">
        <v>203</v>
      </c>
      <c r="B178" t="s">
        <v>22</v>
      </c>
      <c r="C178" t="s">
        <v>16</v>
      </c>
      <c r="D178" t="s">
        <v>26</v>
      </c>
      <c r="E178" t="s">
        <v>29</v>
      </c>
      <c r="F178">
        <v>69</v>
      </c>
      <c r="G178">
        <v>46708.35</v>
      </c>
      <c r="H178">
        <v>1</v>
      </c>
      <c r="I178">
        <v>88</v>
      </c>
      <c r="J178" t="str">
        <f t="shared" si="10"/>
        <v>Low  Cost</v>
      </c>
      <c r="K178" t="str">
        <f t="shared" si="11"/>
        <v>Senior</v>
      </c>
    </row>
    <row r="179" spans="1:11" x14ac:dyDescent="0.3">
      <c r="A179" t="s">
        <v>204</v>
      </c>
      <c r="B179" t="s">
        <v>25</v>
      </c>
      <c r="C179" t="s">
        <v>11</v>
      </c>
      <c r="D179" t="s">
        <v>17</v>
      </c>
      <c r="E179" t="s">
        <v>18</v>
      </c>
      <c r="F179">
        <v>54</v>
      </c>
      <c r="G179">
        <v>68133.7</v>
      </c>
      <c r="H179">
        <v>9</v>
      </c>
      <c r="I179">
        <v>60</v>
      </c>
      <c r="J179" t="str">
        <f t="shared" si="10"/>
        <v>Low  Cost</v>
      </c>
      <c r="K179" t="str">
        <f t="shared" si="11"/>
        <v>Middle-aged</v>
      </c>
    </row>
    <row r="180" spans="1:11" x14ac:dyDescent="0.3">
      <c r="A180" t="s">
        <v>205</v>
      </c>
      <c r="B180" t="s">
        <v>36</v>
      </c>
      <c r="C180" t="s">
        <v>28</v>
      </c>
      <c r="D180" t="s">
        <v>12</v>
      </c>
      <c r="E180" t="s">
        <v>18</v>
      </c>
      <c r="F180">
        <v>82</v>
      </c>
      <c r="G180">
        <v>19213.509999999998</v>
      </c>
      <c r="H180">
        <v>26</v>
      </c>
      <c r="I180">
        <v>96</v>
      </c>
      <c r="J180" t="str">
        <f t="shared" si="10"/>
        <v>Low  Cost</v>
      </c>
      <c r="K180" t="str">
        <f t="shared" si="11"/>
        <v>Elderly</v>
      </c>
    </row>
    <row r="181" spans="1:11" x14ac:dyDescent="0.3">
      <c r="A181" t="s">
        <v>206</v>
      </c>
      <c r="B181" t="s">
        <v>25</v>
      </c>
      <c r="C181" t="s">
        <v>41</v>
      </c>
      <c r="D181" t="s">
        <v>26</v>
      </c>
      <c r="E181" t="s">
        <v>18</v>
      </c>
      <c r="F181">
        <v>60</v>
      </c>
      <c r="G181">
        <v>22138.22</v>
      </c>
      <c r="H181">
        <v>3</v>
      </c>
      <c r="I181">
        <v>96</v>
      </c>
      <c r="J181" t="str">
        <f t="shared" si="10"/>
        <v>Low  Cost</v>
      </c>
      <c r="K181" t="str">
        <f t="shared" si="11"/>
        <v>Senior</v>
      </c>
    </row>
    <row r="182" spans="1:11" x14ac:dyDescent="0.3">
      <c r="A182" t="s">
        <v>207</v>
      </c>
      <c r="B182" t="s">
        <v>22</v>
      </c>
      <c r="C182" t="s">
        <v>16</v>
      </c>
      <c r="D182" t="s">
        <v>17</v>
      </c>
      <c r="E182" t="s">
        <v>18</v>
      </c>
      <c r="F182">
        <v>65</v>
      </c>
      <c r="G182">
        <v>30460.26</v>
      </c>
      <c r="H182">
        <v>21</v>
      </c>
      <c r="I182">
        <v>63</v>
      </c>
      <c r="J182" t="str">
        <f t="shared" si="10"/>
        <v>Low  Cost</v>
      </c>
      <c r="K182" t="str">
        <f t="shared" si="11"/>
        <v>Senior</v>
      </c>
    </row>
    <row r="183" spans="1:11" x14ac:dyDescent="0.3">
      <c r="A183" t="s">
        <v>208</v>
      </c>
      <c r="B183" t="s">
        <v>15</v>
      </c>
      <c r="C183" t="s">
        <v>28</v>
      </c>
      <c r="D183" t="s">
        <v>23</v>
      </c>
      <c r="E183" t="s">
        <v>18</v>
      </c>
      <c r="F183">
        <v>5</v>
      </c>
      <c r="G183">
        <v>52772.62</v>
      </c>
      <c r="H183">
        <v>9</v>
      </c>
      <c r="I183">
        <v>62</v>
      </c>
      <c r="J183" t="str">
        <f t="shared" si="10"/>
        <v>Low  Cost</v>
      </c>
      <c r="K183" t="str">
        <f t="shared" si="11"/>
        <v>Infant/Toddler</v>
      </c>
    </row>
    <row r="184" spans="1:11" x14ac:dyDescent="0.3">
      <c r="A184" t="s">
        <v>209</v>
      </c>
      <c r="B184" t="s">
        <v>22</v>
      </c>
      <c r="C184" t="s">
        <v>28</v>
      </c>
      <c r="D184" t="s">
        <v>17</v>
      </c>
      <c r="E184" t="s">
        <v>18</v>
      </c>
      <c r="F184">
        <v>54</v>
      </c>
      <c r="G184">
        <v>118241.71</v>
      </c>
      <c r="H184">
        <v>24</v>
      </c>
      <c r="I184">
        <v>81</v>
      </c>
      <c r="J184" t="str">
        <f t="shared" si="10"/>
        <v>High Cost</v>
      </c>
      <c r="K184" t="str">
        <f t="shared" si="11"/>
        <v>Middle-aged</v>
      </c>
    </row>
    <row r="185" spans="1:11" x14ac:dyDescent="0.3">
      <c r="A185" t="s">
        <v>210</v>
      </c>
      <c r="B185" t="s">
        <v>10</v>
      </c>
      <c r="C185" t="s">
        <v>16</v>
      </c>
      <c r="D185" t="s">
        <v>32</v>
      </c>
      <c r="E185" t="s">
        <v>18</v>
      </c>
      <c r="F185">
        <v>64</v>
      </c>
      <c r="G185">
        <v>19477.689999999999</v>
      </c>
      <c r="H185">
        <v>6</v>
      </c>
      <c r="I185">
        <v>65</v>
      </c>
      <c r="J185" t="str">
        <f t="shared" si="10"/>
        <v>Low  Cost</v>
      </c>
      <c r="K185" t="str">
        <f t="shared" si="11"/>
        <v>Senior</v>
      </c>
    </row>
    <row r="186" spans="1:11" x14ac:dyDescent="0.3">
      <c r="A186" t="s">
        <v>211</v>
      </c>
      <c r="B186" t="s">
        <v>36</v>
      </c>
      <c r="C186" t="s">
        <v>28</v>
      </c>
      <c r="D186" t="s">
        <v>23</v>
      </c>
      <c r="E186" t="s">
        <v>13</v>
      </c>
      <c r="F186">
        <v>77</v>
      </c>
      <c r="G186">
        <v>114541.22</v>
      </c>
      <c r="H186">
        <v>25</v>
      </c>
      <c r="I186">
        <v>69</v>
      </c>
      <c r="J186" t="str">
        <f t="shared" si="10"/>
        <v>High Cost</v>
      </c>
      <c r="K186" t="str">
        <f t="shared" si="11"/>
        <v>Elderly</v>
      </c>
    </row>
    <row r="187" spans="1:11" x14ac:dyDescent="0.3">
      <c r="A187" t="s">
        <v>212</v>
      </c>
      <c r="B187" t="s">
        <v>36</v>
      </c>
      <c r="C187" t="s">
        <v>11</v>
      </c>
      <c r="D187" t="s">
        <v>26</v>
      </c>
      <c r="E187" t="s">
        <v>13</v>
      </c>
      <c r="F187">
        <v>72</v>
      </c>
      <c r="G187">
        <v>56437.97</v>
      </c>
      <c r="H187">
        <v>21</v>
      </c>
      <c r="I187">
        <v>78</v>
      </c>
      <c r="J187" t="str">
        <f t="shared" si="10"/>
        <v>Low  Cost</v>
      </c>
      <c r="K187" t="str">
        <f t="shared" si="11"/>
        <v>Senior</v>
      </c>
    </row>
    <row r="188" spans="1:11" x14ac:dyDescent="0.3">
      <c r="A188" t="s">
        <v>213</v>
      </c>
      <c r="B188" t="s">
        <v>31</v>
      </c>
      <c r="C188" t="s">
        <v>16</v>
      </c>
      <c r="D188" t="s">
        <v>17</v>
      </c>
      <c r="E188" t="s">
        <v>18</v>
      </c>
      <c r="F188">
        <v>86</v>
      </c>
      <c r="G188">
        <v>53586.34</v>
      </c>
      <c r="H188">
        <v>22</v>
      </c>
      <c r="I188">
        <v>96</v>
      </c>
      <c r="J188" t="str">
        <f t="shared" si="10"/>
        <v>Low  Cost</v>
      </c>
      <c r="K188" t="str">
        <f t="shared" si="11"/>
        <v>Elderly</v>
      </c>
    </row>
    <row r="189" spans="1:11" x14ac:dyDescent="0.3">
      <c r="A189" t="s">
        <v>214</v>
      </c>
      <c r="B189" t="s">
        <v>10</v>
      </c>
      <c r="C189" t="s">
        <v>41</v>
      </c>
      <c r="D189" t="s">
        <v>17</v>
      </c>
      <c r="E189" t="s">
        <v>13</v>
      </c>
      <c r="F189">
        <v>62</v>
      </c>
      <c r="G189">
        <v>13836.03</v>
      </c>
      <c r="H189">
        <v>15</v>
      </c>
      <c r="I189">
        <v>60</v>
      </c>
      <c r="J189" t="str">
        <f t="shared" si="10"/>
        <v>Low  Cost</v>
      </c>
      <c r="K189" t="str">
        <f t="shared" si="11"/>
        <v>Senior</v>
      </c>
    </row>
    <row r="190" spans="1:11" x14ac:dyDescent="0.3">
      <c r="A190" t="s">
        <v>215</v>
      </c>
      <c r="B190" t="s">
        <v>15</v>
      </c>
      <c r="C190" t="s">
        <v>28</v>
      </c>
      <c r="D190" t="s">
        <v>23</v>
      </c>
      <c r="E190" t="s">
        <v>18</v>
      </c>
      <c r="F190">
        <v>38</v>
      </c>
      <c r="G190">
        <v>54960.36</v>
      </c>
      <c r="H190">
        <v>26</v>
      </c>
      <c r="I190">
        <v>61</v>
      </c>
      <c r="J190" t="str">
        <f t="shared" si="10"/>
        <v>Low  Cost</v>
      </c>
      <c r="K190" t="str">
        <f t="shared" si="11"/>
        <v>Adult</v>
      </c>
    </row>
    <row r="191" spans="1:11" x14ac:dyDescent="0.3">
      <c r="A191" t="s">
        <v>216</v>
      </c>
      <c r="B191" t="s">
        <v>15</v>
      </c>
      <c r="C191" t="s">
        <v>16</v>
      </c>
      <c r="D191" t="s">
        <v>32</v>
      </c>
      <c r="E191" t="s">
        <v>13</v>
      </c>
      <c r="F191">
        <v>70</v>
      </c>
      <c r="G191">
        <v>92629.07</v>
      </c>
      <c r="H191">
        <v>11</v>
      </c>
      <c r="I191">
        <v>96</v>
      </c>
      <c r="J191" t="str">
        <f t="shared" si="10"/>
        <v>High Cost</v>
      </c>
      <c r="K191" t="str">
        <f t="shared" si="11"/>
        <v>Senior</v>
      </c>
    </row>
    <row r="192" spans="1:11" x14ac:dyDescent="0.3">
      <c r="A192" t="s">
        <v>217</v>
      </c>
      <c r="B192" t="s">
        <v>25</v>
      </c>
      <c r="C192" t="s">
        <v>41</v>
      </c>
      <c r="D192" t="s">
        <v>32</v>
      </c>
      <c r="E192" t="s">
        <v>29</v>
      </c>
      <c r="F192">
        <v>52</v>
      </c>
      <c r="G192">
        <v>69945.08</v>
      </c>
      <c r="H192">
        <v>8</v>
      </c>
      <c r="I192">
        <v>80</v>
      </c>
      <c r="J192" t="str">
        <f t="shared" si="10"/>
        <v>Low  Cost</v>
      </c>
      <c r="K192" t="str">
        <f t="shared" si="11"/>
        <v>Middle-aged</v>
      </c>
    </row>
    <row r="193" spans="1:11" x14ac:dyDescent="0.3">
      <c r="A193" t="s">
        <v>218</v>
      </c>
      <c r="B193" t="s">
        <v>22</v>
      </c>
      <c r="C193" t="s">
        <v>16</v>
      </c>
      <c r="D193" t="s">
        <v>12</v>
      </c>
      <c r="E193" t="s">
        <v>13</v>
      </c>
      <c r="F193">
        <v>62</v>
      </c>
      <c r="G193">
        <v>132120.79</v>
      </c>
      <c r="H193">
        <v>25</v>
      </c>
      <c r="I193">
        <v>81</v>
      </c>
      <c r="J193" t="str">
        <f t="shared" si="10"/>
        <v>High Cost</v>
      </c>
      <c r="K193" t="str">
        <f t="shared" si="11"/>
        <v>Senior</v>
      </c>
    </row>
    <row r="194" spans="1:11" x14ac:dyDescent="0.3">
      <c r="A194" t="s">
        <v>219</v>
      </c>
      <c r="B194" t="s">
        <v>22</v>
      </c>
      <c r="C194" t="s">
        <v>16</v>
      </c>
      <c r="D194" t="s">
        <v>26</v>
      </c>
      <c r="E194" t="s">
        <v>18</v>
      </c>
      <c r="F194">
        <v>22</v>
      </c>
      <c r="G194">
        <v>132726.88</v>
      </c>
      <c r="H194">
        <v>24</v>
      </c>
      <c r="I194">
        <v>54</v>
      </c>
      <c r="J194" t="str">
        <f t="shared" ref="J194:J201" si="12">IF(G194&gt;75000,"High Cost", "Low  Cost")</f>
        <v>High Cost</v>
      </c>
      <c r="K194" t="str">
        <f t="shared" ref="K194:K201" si="13">IF(F194&lt;=5, "Infant/Toddler",
IF(F194&lt;=12,"Child",
IF(F194&lt;=19,"Teenager",
IF(F194&lt;=29,"Young Adult",
IF(F194&lt;=44,"Adult",
IF(F194&lt;=59,"Middle-aged",
IF(F194&lt;=74,"Senior","Elderly")))))))</f>
        <v>Young Adult</v>
      </c>
    </row>
    <row r="195" spans="1:11" x14ac:dyDescent="0.3">
      <c r="A195" t="s">
        <v>220</v>
      </c>
      <c r="B195" t="s">
        <v>10</v>
      </c>
      <c r="C195" t="s">
        <v>16</v>
      </c>
      <c r="D195" t="s">
        <v>17</v>
      </c>
      <c r="E195" t="s">
        <v>29</v>
      </c>
      <c r="F195">
        <v>70</v>
      </c>
      <c r="G195">
        <v>40806.769999999997</v>
      </c>
      <c r="H195">
        <v>1</v>
      </c>
      <c r="I195">
        <v>51</v>
      </c>
      <c r="J195" t="str">
        <f t="shared" si="12"/>
        <v>Low  Cost</v>
      </c>
      <c r="K195" t="str">
        <f t="shared" si="13"/>
        <v>Senior</v>
      </c>
    </row>
    <row r="196" spans="1:11" x14ac:dyDescent="0.3">
      <c r="A196" t="s">
        <v>221</v>
      </c>
      <c r="B196" t="s">
        <v>25</v>
      </c>
      <c r="C196" t="s">
        <v>41</v>
      </c>
      <c r="D196" t="s">
        <v>32</v>
      </c>
      <c r="E196" t="s">
        <v>13</v>
      </c>
      <c r="F196">
        <v>33</v>
      </c>
      <c r="G196">
        <v>56926.38</v>
      </c>
      <c r="H196">
        <v>11</v>
      </c>
      <c r="I196">
        <v>81</v>
      </c>
      <c r="J196" t="str">
        <f t="shared" si="12"/>
        <v>Low  Cost</v>
      </c>
      <c r="K196" t="str">
        <f t="shared" si="13"/>
        <v>Adult</v>
      </c>
    </row>
    <row r="197" spans="1:11" x14ac:dyDescent="0.3">
      <c r="A197" t="s">
        <v>222</v>
      </c>
      <c r="B197" t="s">
        <v>22</v>
      </c>
      <c r="C197" t="s">
        <v>16</v>
      </c>
      <c r="D197" t="s">
        <v>32</v>
      </c>
      <c r="E197" t="s">
        <v>29</v>
      </c>
      <c r="F197">
        <v>1</v>
      </c>
      <c r="G197">
        <v>87386.12</v>
      </c>
      <c r="H197">
        <v>14</v>
      </c>
      <c r="I197">
        <v>63</v>
      </c>
      <c r="J197" t="str">
        <f t="shared" si="12"/>
        <v>High Cost</v>
      </c>
      <c r="K197" t="str">
        <f t="shared" si="13"/>
        <v>Infant/Toddler</v>
      </c>
    </row>
    <row r="198" spans="1:11" x14ac:dyDescent="0.3">
      <c r="A198" t="s">
        <v>223</v>
      </c>
      <c r="B198" t="s">
        <v>22</v>
      </c>
      <c r="C198" t="s">
        <v>28</v>
      </c>
      <c r="D198" t="s">
        <v>12</v>
      </c>
      <c r="E198" t="s">
        <v>13</v>
      </c>
      <c r="F198">
        <v>8</v>
      </c>
      <c r="G198">
        <v>7805.22</v>
      </c>
      <c r="H198">
        <v>13</v>
      </c>
      <c r="I198">
        <v>91</v>
      </c>
      <c r="J198" t="str">
        <f t="shared" si="12"/>
        <v>Low  Cost</v>
      </c>
      <c r="K198" t="str">
        <f t="shared" si="13"/>
        <v>Child</v>
      </c>
    </row>
    <row r="199" spans="1:11" x14ac:dyDescent="0.3">
      <c r="A199" t="s">
        <v>224</v>
      </c>
      <c r="B199" t="s">
        <v>22</v>
      </c>
      <c r="C199" t="s">
        <v>11</v>
      </c>
      <c r="D199" t="s">
        <v>17</v>
      </c>
      <c r="E199" t="s">
        <v>18</v>
      </c>
      <c r="F199">
        <v>90</v>
      </c>
      <c r="G199">
        <v>64936.83</v>
      </c>
      <c r="H199">
        <v>23</v>
      </c>
      <c r="I199">
        <v>51</v>
      </c>
      <c r="J199" t="str">
        <f t="shared" si="12"/>
        <v>Low  Cost</v>
      </c>
      <c r="K199" t="str">
        <f t="shared" si="13"/>
        <v>Elderly</v>
      </c>
    </row>
    <row r="200" spans="1:11" x14ac:dyDescent="0.3">
      <c r="A200" t="s">
        <v>225</v>
      </c>
      <c r="B200" t="s">
        <v>36</v>
      </c>
      <c r="C200" t="s">
        <v>41</v>
      </c>
      <c r="D200" t="s">
        <v>32</v>
      </c>
      <c r="E200" t="s">
        <v>13</v>
      </c>
      <c r="F200">
        <v>21</v>
      </c>
      <c r="G200">
        <v>57025.03</v>
      </c>
      <c r="H200">
        <v>18</v>
      </c>
      <c r="I200">
        <v>50</v>
      </c>
      <c r="J200" t="str">
        <f t="shared" si="12"/>
        <v>Low  Cost</v>
      </c>
      <c r="K200" t="str">
        <f t="shared" si="13"/>
        <v>Young Adult</v>
      </c>
    </row>
    <row r="201" spans="1:11" x14ac:dyDescent="0.3">
      <c r="A201" t="s">
        <v>226</v>
      </c>
      <c r="B201" t="s">
        <v>36</v>
      </c>
      <c r="C201" t="s">
        <v>41</v>
      </c>
      <c r="D201" t="s">
        <v>23</v>
      </c>
      <c r="E201" t="s">
        <v>13</v>
      </c>
      <c r="F201">
        <v>39</v>
      </c>
      <c r="G201">
        <v>145631.91</v>
      </c>
      <c r="H201">
        <v>6</v>
      </c>
      <c r="I201">
        <v>49</v>
      </c>
      <c r="J201" t="str">
        <f t="shared" si="12"/>
        <v>High Cost</v>
      </c>
      <c r="K201" t="str">
        <f t="shared" si="13"/>
        <v>Adult</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5</vt:i4>
      </vt:variant>
    </vt:vector>
  </HeadingPairs>
  <TitlesOfParts>
    <vt:vector size="5" baseType="lpstr">
      <vt:lpstr>pivot_table</vt:lpstr>
      <vt:lpstr>hospita</vt:lpstr>
      <vt:lpstr>Detail1</vt:lpstr>
      <vt:lpstr>Sheet3</vt:lpstr>
      <vt:lpstr>hospital_patient_treatment_data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Madhon singh bhadauria</dc:creator>
  <cp:lastModifiedBy>Madhon singh bhadauria</cp:lastModifiedBy>
  <cp:lastPrinted>2026-05-26T11:37:36Z</cp:lastPrinted>
  <dcterms:created xsi:type="dcterms:W3CDTF">2026-05-26T09:33:59Z</dcterms:created>
  <dcterms:modified xsi:type="dcterms:W3CDTF">2026-06-07T09:00:33Z</dcterms:modified>
</cp:coreProperties>
</file>